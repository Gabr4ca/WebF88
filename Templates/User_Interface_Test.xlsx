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<sst xmlns="http://schemas.openxmlformats.org/spreadsheetml/2006/main" count="64" uniqueCount="51">
  <si>
    <t>Module Code</t>
  </si>
  <si>
    <t>Module_User_Interface</t>
  </si>
  <si>
    <t>Pass</t>
  </si>
  <si>
    <t>Test requirement</t>
  </si>
  <si>
    <t>Kiểm tra giao diện người dùng</t>
  </si>
  <si>
    <t>Fail</t>
  </si>
  <si>
    <t>Tester</t>
  </si>
  <si>
    <t>Untested</t>
  </si>
  <si>
    <t>N/A</t>
  </si>
  <si>
    <t>Number of Test cases</t>
  </si>
  <si>
    <t>Untesed</t>
  </si>
  <si>
    <t>ID</t>
  </si>
  <si>
    <t>Test Case Description</t>
  </si>
  <si>
    <t>Test Case Procedure</t>
  </si>
  <si>
    <t>Expected Output</t>
  </si>
  <si>
    <t>Test data</t>
  </si>
  <si>
    <t>Result</t>
  </si>
  <si>
    <t>Description</t>
  </si>
  <si>
    <t>UI-001</t>
  </si>
  <si>
    <t>Verify Homepage Layout on Full HD Screen
(Kiểm tra bố cục trang chủ trên màn hình rộng 1920px)</t>
  </si>
  <si>
    <t>1. Mở trình duyệt Chrome trên màn hình 1920x1080.
2. Truy cập trang chủ.
3. Quan sát Banner khuyến mãi và lưới (grid) món ăn.</t>
  </si>
  <si>
    <t>1. Banner hiển thị sắc nét, full chiều rộng, không bị vỡ hạt.
2. Danh sách món ăn hiển thị 4 hoặc 5 cột (tùy thiết kế), khoảng cách đều nhau.
3. Không xuất hiện thanh cuộn ngang (Horizontal Scrollbar).</t>
  </si>
  <si>
    <t>Màn hình 1920x1080</t>
  </si>
  <si>
    <t>UI-002</t>
  </si>
  <si>
    <t>Verify Hover Effects on Buttons
(Kiểm tra hiệu ứng rê chuột trên các nút bấm)</t>
  </si>
  <si>
    <t>1. Di chuột (Hover) vào nút "Thêm vào giỏ" của một món ăn bất kỳ.
2. Di chuột vào các link trên thanh Menu (Trang chủ, Thực đơn...).</t>
  </si>
  <si>
    <t>1. Con trỏ chuột đổi từ hình mũi tên sang hình bàn tay (Pointer).
2. Nút đổi màu nền (đậm hơn hoặc sáng hơn) để báo hiệu đang được chọn.
3. Hiệu ứng chuyển màu mượt mà (transition).</t>
  </si>
  <si>
    <t>UI-003</t>
  </si>
  <si>
    <t>Verify Keyboard Navigation (Tab Order)
(Kiểm tra điều hướng bằng bàn phím trên form Đăng nhập)</t>
  </si>
  <si>
    <t>1. Vào trang Đăng nhập.
2. Click chuột vào ô Username.
3. Nhấn phím Tab trên bàn phím.
4. Nhấn phím Tab lần nữa.
5. Nhấn Enter.</t>
  </si>
  <si>
    <t>1. Sau khi nhấn Tab lần 1: Con trỏ nhảy sang ô Password.
2. Sau khi nhấn Tab lần 2: Con trỏ nhảy xuống nút "Đăng nhập" (nút sáng lên/có viền focus).
3. Nhấn Enter: Thực hiện submit form đăng nhập.</t>
  </si>
  <si>
    <t>UI-004</t>
  </si>
  <si>
    <t>Verify Window Resize Behavior
(Kiểm tra khi thay đổi kích thước cửa sổ trình duyệt)</t>
  </si>
  <si>
    <t>1. Đang mở full màn hình.
2. Bấm nút "Restore Down" (thu nhỏ cửa sổ) hoặc kéo cạnh trình duyệt hẹp lại (còn khoảng 1024px).</t>
  </si>
  <si>
    <t>1. Bố cục tự động co lại.
2. Lưới món ăn giảm từ 4 cột xuống 3 cột (Responsive).
3. Hình ảnh và chữ không bị chồng đè lên nhau.
4. Menu ngang vẫn hiển thị tốt (chưa bị chuyển thành Hamburger menu).</t>
  </si>
  <si>
    <t>Kích thước window ngẫu nhiên</t>
  </si>
  <si>
    <t>UI-005</t>
  </si>
  <si>
    <t>Verify "Sticky" Header/Cart
(Kiểm tra thanh điều hướng dính khi cuộn trang)</t>
  </si>
  <si>
    <t>1. Vào trang Thực đơn (có danh sách món dài).
2. Cuộn chuột xuống dưới cùng trang.
3. Quan sát thanh Menu và biểu tượng Giỏ hàng.</t>
  </si>
  <si>
    <t>1. Thanh Menu (Header) vẫn ghim cố định ở mép trên cùng màn hình (hoặc hiện nút "Back to Top").
2. Người dùng có thể bấm vào Giỏ hàng bất cứ lúc nào mà không cần cuộn ngược lên đầu trang.</t>
  </si>
  <si>
    <t>Trang Menu nhiều món</t>
  </si>
  <si>
    <t>UI-006</t>
  </si>
  <si>
    <t>Verify Empty Cart UI State
(Kiểm tra giao diện giỏ hàng khi trống)</t>
  </si>
  <si>
    <t>1. Xóa hết món trong giỏ hàng.
2. Truy cập vào trang Giỏ hàng.</t>
  </si>
  <si>
    <t>1. Không hiển thị bảng trắng trơn hoặc lỗi.
2. Hiển thị hình minh họa (icon giỏ hàng buồn/trống).
3. Có dòng chữ "Giỏ hàng của bạn đang trống".
4. Có nút "Quay lại thực đơn" để kêu gọi hành động.</t>
  </si>
  <si>
    <t>Giỏ hàng rỗng</t>
  </si>
  <si>
    <t>UI-007</t>
  </si>
  <si>
    <t>Verify Image Lazy Loading
(Kiểm tra tải ảnh khi cuộn trang)</t>
  </si>
  <si>
    <t>1. Vào trang danh sách món ăn.
2. Cuộn chuột thật nhanh xuống phía dưới.</t>
  </si>
  <si>
    <t>1. Các khung hình ảnh hiển thị Placeholder (màu xám hoặc spinner) trước.
2. Sau khoảng tích tắc, hình ảnh món ăn mới hiện ra.
3. Giúp trang web không bị giật lag khi load nhiều ảnh.</t>
  </si>
  <si>
    <t>Mạng Wifi bình thường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</si>
</sst>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33">
    <font>
      <sz val="11"/>
      <color theme="1"/>
      <name val="Calibri"/>
      <charset val="134"/>
      <scheme val="minor"/>
    </font>
    <font>
      <sz val="10"/>
      <color indexed="8"/>
      <name val="Tahoma"/>
      <family val="2"/>
      <charset val="0"/>
    </font>
    <font>
      <sz val="10"/>
      <name val="Tahoma"/>
      <family val="2"/>
      <charset val="0"/>
    </font>
    <font>
      <sz val="10"/>
      <color indexed="10"/>
      <name val="Tahoma"/>
      <family val="2"/>
      <charset val="0"/>
    </font>
    <font>
      <b/>
      <sz val="10"/>
      <name val="Tahoma"/>
      <family val="2"/>
      <charset val="0"/>
    </font>
    <font>
      <i/>
      <sz val="10"/>
      <color indexed="17"/>
      <name val="Tahoma"/>
      <family val="2"/>
      <charset val="0"/>
    </font>
    <font>
      <b/>
      <sz val="10"/>
      <color indexed="8"/>
      <name val="Tahoma"/>
      <family val="2"/>
      <charset val="0"/>
    </font>
    <font>
      <b/>
      <sz val="10"/>
      <color indexed="9"/>
      <name val="Tahoma"/>
      <family val="2"/>
      <charset val="0"/>
    </font>
    <font>
      <sz val="11"/>
      <color rgb="FF1F1F1F"/>
      <name val="Arial"/>
      <family val="3"/>
      <charset val="128"/>
    </font>
    <font>
      <sz val="10"/>
      <name val="Arial"/>
      <family val="2"/>
      <charset val="0"/>
    </font>
    <font>
      <b/>
      <sz val="11"/>
      <color rgb="FF1F1F1F"/>
      <name val="Arial"/>
      <family val="3"/>
      <charset val="128"/>
    </font>
    <font>
      <sz val="11"/>
      <color rgb="FF444746"/>
      <name val="Arial"/>
      <family val="3"/>
      <charset val="128"/>
    </font>
    <font>
      <sz val="11"/>
      <name val="ＭＳ Ｐゴシック"/>
      <family val="3"/>
      <charset val="128"/>
    </font>
    <font>
      <b/>
      <sz val="10"/>
      <color indexed="10"/>
      <name val="Tahoma"/>
      <family val="2"/>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theme="0"/>
        <bgColor indexed="26"/>
      </patternFill>
    </fill>
    <fill>
      <patternFill patternType="solid">
        <fgColor theme="0"/>
        <bgColor indexed="41"/>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right/>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right style="thin">
        <color auto="1"/>
      </right>
      <top style="thin">
        <color indexed="8"/>
      </top>
      <bottom style="thin">
        <color auto="1"/>
      </bottom>
      <diagonal/>
    </border>
    <border>
      <left style="thin">
        <color auto="1"/>
      </left>
      <right style="thin">
        <color auto="1"/>
      </right>
      <top style="thin">
        <color indexed="8"/>
      </top>
      <bottom style="thin">
        <color auto="1"/>
      </bottom>
      <diagonal/>
    </border>
    <border>
      <left style="thin">
        <color auto="1"/>
      </left>
      <right style="thin">
        <color indexed="0"/>
      </right>
      <top style="thin">
        <color indexed="8"/>
      </top>
      <bottom style="thin">
        <color auto="1"/>
      </bottom>
      <diagonal/>
    </border>
    <border>
      <left style="thin">
        <color auto="1"/>
      </left>
      <right style="thin">
        <color auto="1"/>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0"/>
      </right>
      <top style="thin">
        <color auto="1"/>
      </top>
      <bottom style="thin">
        <color indexed="8"/>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29"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0" applyNumberFormat="0" applyFill="0" applyAlignment="0" applyProtection="0">
      <alignment vertical="center"/>
    </xf>
    <xf numFmtId="0" fontId="20" fillId="0" borderId="30" applyNumberFormat="0" applyFill="0" applyAlignment="0" applyProtection="0">
      <alignment vertical="center"/>
    </xf>
    <xf numFmtId="0" fontId="21" fillId="0" borderId="31" applyNumberFormat="0" applyFill="0" applyAlignment="0" applyProtection="0">
      <alignment vertical="center"/>
    </xf>
    <xf numFmtId="0" fontId="21" fillId="0" borderId="0" applyNumberFormat="0" applyFill="0" applyBorder="0" applyAlignment="0" applyProtection="0">
      <alignment vertical="center"/>
    </xf>
    <xf numFmtId="0" fontId="22" fillId="8" borderId="32" applyNumberFormat="0" applyAlignment="0" applyProtection="0">
      <alignment vertical="center"/>
    </xf>
    <xf numFmtId="0" fontId="23" fillId="9" borderId="33" applyNumberFormat="0" applyAlignment="0" applyProtection="0">
      <alignment vertical="center"/>
    </xf>
    <xf numFmtId="0" fontId="24" fillId="9" borderId="32" applyNumberFormat="0" applyAlignment="0" applyProtection="0">
      <alignment vertical="center"/>
    </xf>
    <xf numFmtId="0" fontId="25" fillId="10" borderId="34" applyNumberFormat="0" applyAlignment="0" applyProtection="0">
      <alignment vertical="center"/>
    </xf>
    <xf numFmtId="0" fontId="26" fillId="0" borderId="35" applyNumberFormat="0" applyFill="0" applyAlignment="0" applyProtection="0">
      <alignment vertical="center"/>
    </xf>
    <xf numFmtId="0" fontId="27" fillId="0" borderId="36"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12" fillId="0" borderId="0"/>
  </cellStyleXfs>
  <cellXfs count="103">
    <xf numFmtId="0" fontId="0" fillId="0" borderId="0" xfId="0">
      <alignment vertical="center"/>
    </xf>
    <xf numFmtId="0" fontId="1" fillId="2" borderId="0" xfId="0" applyFont="1" applyFill="1" applyBorder="1" applyAlignment="1"/>
    <xf numFmtId="0" fontId="1" fillId="2" borderId="0" xfId="0" applyFont="1" applyFill="1" applyBorder="1" applyAlignment="1">
      <alignment vertical="top"/>
    </xf>
    <xf numFmtId="0" fontId="2" fillId="2" borderId="0" xfId="0" applyFont="1" applyFill="1" applyBorder="1" applyAlignment="1"/>
    <xf numFmtId="0" fontId="3" fillId="2" borderId="0" xfId="0" applyFont="1" applyFill="1" applyBorder="1" applyAlignment="1"/>
    <xf numFmtId="0" fontId="1" fillId="2" borderId="1" xfId="0" applyFont="1" applyFill="1" applyBorder="1" applyAlignment="1"/>
    <xf numFmtId="0" fontId="1" fillId="2" borderId="1" xfId="0" applyFont="1" applyFill="1" applyBorder="1" applyAlignment="1">
      <alignment wrapText="1"/>
    </xf>
    <xf numFmtId="0" fontId="2" fillId="2" borderId="1" xfId="0" applyFont="1" applyFill="1" applyBorder="1" applyAlignment="1">
      <alignment wrapText="1"/>
    </xf>
    <xf numFmtId="0" fontId="4" fillId="2" borderId="0" xfId="0" applyFont="1" applyFill="1" applyBorder="1" applyAlignment="1" applyProtection="1">
      <alignment wrapText="1"/>
    </xf>
    <xf numFmtId="0" fontId="2" fillId="2" borderId="0" xfId="0" applyFont="1" applyFill="1" applyBorder="1" applyAlignment="1">
      <alignment wrapText="1"/>
    </xf>
    <xf numFmtId="0" fontId="4" fillId="2" borderId="2" xfId="49" applyFont="1" applyFill="1" applyBorder="1" applyAlignment="1">
      <alignment horizontal="left" wrapText="1"/>
    </xf>
    <xf numFmtId="0" fontId="5" fillId="2" borderId="3" xfId="49" applyFont="1" applyFill="1" applyBorder="1" applyAlignment="1">
      <alignment horizontal="left" wrapText="1"/>
    </xf>
    <xf numFmtId="0" fontId="2" fillId="2" borderId="0" xfId="0" applyFont="1" applyFill="1" applyBorder="1" applyAlignment="1" applyProtection="1">
      <alignment wrapText="1"/>
    </xf>
    <xf numFmtId="0" fontId="4" fillId="2" borderId="4" xfId="49" applyFont="1" applyFill="1" applyBorder="1" applyAlignment="1">
      <alignment horizontal="left" wrapText="1"/>
    </xf>
    <xf numFmtId="0" fontId="5" fillId="2" borderId="5" xfId="49" applyFont="1" applyFill="1" applyBorder="1" applyAlignment="1">
      <alignment horizontal="left" wrapText="1"/>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 fillId="2" borderId="0" xfId="0" applyFont="1" applyFill="1" applyBorder="1" applyAlignment="1">
      <alignment horizontal="center" wrapText="1"/>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0" xfId="0" applyFont="1" applyFill="1" applyBorder="1" applyAlignment="1">
      <alignment horizontal="center" wrapText="1"/>
    </xf>
    <xf numFmtId="0" fontId="7" fillId="3" borderId="12" xfId="49" applyFont="1" applyFill="1" applyBorder="1" applyAlignment="1">
      <alignment horizontal="center" vertical="center" wrapText="1"/>
    </xf>
    <xf numFmtId="0" fontId="7" fillId="3" borderId="12" xfId="49" applyFont="1" applyFill="1" applyBorder="1" applyAlignment="1">
      <alignment horizontal="center" vertical="center" wrapText="1"/>
    </xf>
    <xf numFmtId="0" fontId="7" fillId="3" borderId="6" xfId="49" applyFont="1" applyFill="1" applyBorder="1" applyAlignment="1">
      <alignment horizontal="center" vertical="center" wrapText="1"/>
    </xf>
    <xf numFmtId="0" fontId="8" fillId="0" borderId="13" xfId="0" applyFont="1" applyFill="1" applyBorder="1" applyAlignment="1">
      <alignment horizontal="left" vertical="center" wrapText="1" readingOrder="1"/>
    </xf>
    <xf numFmtId="0" fontId="9" fillId="2" borderId="14" xfId="49" applyFont="1" applyFill="1" applyBorder="1" applyAlignment="1">
      <alignment horizontal="left" vertical="center" wrapText="1"/>
    </xf>
    <xf numFmtId="0" fontId="9" fillId="2" borderId="6" xfId="0" applyFont="1" applyFill="1" applyBorder="1" applyAlignment="1">
      <alignment horizontal="left" vertical="center" wrapText="1"/>
    </xf>
    <xf numFmtId="0" fontId="9" fillId="2" borderId="6" xfId="0" applyFont="1" applyFill="1" applyBorder="1" applyAlignment="1">
      <alignment vertical="center" wrapText="1"/>
    </xf>
    <xf numFmtId="0" fontId="2" fillId="2" borderId="14" xfId="49" applyFont="1" applyFill="1" applyBorder="1" applyAlignment="1">
      <alignment horizontal="left" vertical="center" wrapText="1"/>
    </xf>
    <xf numFmtId="0" fontId="2" fillId="2" borderId="6" xfId="49" applyFont="1" applyFill="1" applyBorder="1" applyAlignment="1">
      <alignment vertical="top" wrapText="1"/>
    </xf>
    <xf numFmtId="0" fontId="2" fillId="2" borderId="6" xfId="0" applyFont="1" applyFill="1" applyBorder="1" applyAlignment="1">
      <alignment vertical="top" wrapText="1"/>
    </xf>
    <xf numFmtId="0" fontId="2" fillId="4" borderId="15" xfId="49" applyFont="1" applyFill="1" applyBorder="1" applyAlignment="1">
      <alignment horizontal="left" vertical="center" wrapText="1"/>
    </xf>
    <xf numFmtId="0" fontId="2" fillId="4" borderId="16" xfId="0" applyFont="1" applyFill="1" applyBorder="1" applyAlignment="1"/>
    <xf numFmtId="0" fontId="2" fillId="4" borderId="17" xfId="0" applyFont="1" applyFill="1" applyBorder="1" applyAlignment="1"/>
    <xf numFmtId="0" fontId="8" fillId="0" borderId="18" xfId="0" applyFont="1" applyFill="1" applyBorder="1" applyAlignment="1">
      <alignment horizontal="left" vertical="center" wrapText="1" readingOrder="1"/>
    </xf>
    <xf numFmtId="0" fontId="2" fillId="5" borderId="19" xfId="49" applyFont="1" applyFill="1" applyBorder="1" applyAlignment="1">
      <alignment horizontal="left" vertical="center"/>
    </xf>
    <xf numFmtId="0" fontId="4" fillId="5" borderId="18" xfId="49" applyFont="1" applyFill="1" applyBorder="1" applyAlignment="1">
      <alignment horizontal="left" vertical="center"/>
    </xf>
    <xf numFmtId="0" fontId="4" fillId="5" borderId="20" xfId="49" applyFont="1" applyFill="1" applyBorder="1" applyAlignment="1">
      <alignment horizontal="left" vertical="center"/>
    </xf>
    <xf numFmtId="0" fontId="2" fillId="4" borderId="0" xfId="49" applyFont="1" applyFill="1" applyBorder="1" applyAlignment="1">
      <alignment vertical="top" wrapText="1"/>
    </xf>
    <xf numFmtId="0" fontId="2" fillId="4" borderId="0" xfId="0" applyFont="1" applyFill="1" applyBorder="1" applyAlignment="1">
      <alignment vertical="top" wrapText="1"/>
    </xf>
    <xf numFmtId="0" fontId="2" fillId="2" borderId="21" xfId="0" applyFont="1" applyFill="1" applyBorder="1" applyAlignment="1"/>
    <xf numFmtId="0" fontId="2" fillId="2" borderId="22" xfId="0" applyFont="1" applyFill="1" applyBorder="1" applyAlignment="1"/>
    <xf numFmtId="0" fontId="2" fillId="2" borderId="0" xfId="0" applyFont="1" applyFill="1" applyBorder="1" applyAlignment="1"/>
    <xf numFmtId="0" fontId="2" fillId="2" borderId="0" xfId="0" applyFont="1" applyFill="1" applyBorder="1" applyAlignment="1"/>
    <xf numFmtId="0" fontId="2" fillId="2" borderId="0" xfId="0" applyFont="1" applyFill="1" applyBorder="1" applyAlignment="1"/>
    <xf numFmtId="0" fontId="2" fillId="2" borderId="0" xfId="0" applyFont="1" applyFill="1" applyBorder="1" applyAlignment="1"/>
    <xf numFmtId="0" fontId="2" fillId="2" borderId="23" xfId="0" applyFont="1" applyFill="1" applyBorder="1" applyAlignment="1"/>
    <xf numFmtId="0" fontId="2" fillId="6" borderId="24" xfId="0" applyFont="1" applyFill="1" applyBorder="1" applyAlignment="1"/>
    <xf numFmtId="0" fontId="2" fillId="6" borderId="25" xfId="0" applyFont="1" applyFill="1" applyBorder="1" applyAlignment="1"/>
    <xf numFmtId="0" fontId="2" fillId="6" borderId="0" xfId="0" applyFont="1" applyFill="1" applyBorder="1" applyAlignment="1"/>
    <xf numFmtId="0" fontId="2" fillId="6" borderId="0" xfId="0" applyFont="1" applyFill="1" applyBorder="1" applyAlignment="1"/>
    <xf numFmtId="0" fontId="2" fillId="6" borderId="0" xfId="0" applyFont="1" applyFill="1" applyBorder="1" applyAlignment="1"/>
    <xf numFmtId="0" fontId="2" fillId="6" borderId="0" xfId="0" applyFont="1" applyFill="1" applyBorder="1" applyAlignment="1"/>
    <xf numFmtId="0" fontId="2" fillId="2" borderId="26" xfId="0" applyFont="1" applyFill="1" applyBorder="1" applyAlignment="1"/>
    <xf numFmtId="0" fontId="10" fillId="6" borderId="27" xfId="0" applyFont="1" applyFill="1" applyBorder="1" applyAlignment="1">
      <alignment wrapText="1" readingOrder="1"/>
    </xf>
    <xf numFmtId="0" fontId="10" fillId="6" borderId="22" xfId="0" applyFont="1" applyFill="1" applyBorder="1" applyAlignment="1">
      <alignment wrapText="1" readingOrder="1"/>
    </xf>
    <xf numFmtId="0" fontId="10" fillId="6" borderId="0" xfId="0" applyFont="1" applyFill="1" applyBorder="1" applyAlignment="1">
      <alignment wrapText="1" readingOrder="1"/>
    </xf>
    <xf numFmtId="0" fontId="2" fillId="6" borderId="0" xfId="0" applyFont="1" applyFill="1" applyBorder="1" applyAlignment="1"/>
    <xf numFmtId="0" fontId="10" fillId="6" borderId="0" xfId="0" applyFont="1" applyFill="1" applyBorder="1" applyAlignment="1">
      <alignment wrapText="1" readingOrder="1"/>
    </xf>
    <xf numFmtId="0" fontId="2" fillId="6" borderId="0" xfId="0" applyFont="1" applyFill="1" applyBorder="1" applyAlignment="1"/>
    <xf numFmtId="0" fontId="10" fillId="6" borderId="0" xfId="0" applyFont="1" applyFill="1" applyBorder="1" applyAlignment="1">
      <alignment wrapText="1" readingOrder="1"/>
    </xf>
    <xf numFmtId="0" fontId="8" fillId="6" borderId="0" xfId="0" applyFont="1" applyFill="1" applyBorder="1" applyAlignment="1">
      <alignment wrapText="1" readingOrder="1"/>
    </xf>
    <xf numFmtId="0" fontId="11" fillId="6" borderId="0" xfId="0" applyFont="1" applyFill="1" applyBorder="1" applyAlignment="1">
      <alignment wrapText="1" readingOrder="1"/>
    </xf>
    <xf numFmtId="0" fontId="2" fillId="2" borderId="0" xfId="0" applyFont="1" applyFill="1" applyBorder="1" applyAlignment="1"/>
    <xf numFmtId="0" fontId="12" fillId="6" borderId="0" xfId="0" applyFont="1" applyFill="1" applyBorder="1" applyAlignment="1"/>
    <xf numFmtId="0" fontId="10" fillId="6" borderId="0" xfId="0" applyFont="1" applyFill="1" applyBorder="1" applyAlignment="1">
      <alignment wrapText="1" readingOrder="1"/>
    </xf>
    <xf numFmtId="0" fontId="10" fillId="6" borderId="0" xfId="0" applyFont="1" applyFill="1" applyBorder="1" applyAlignment="1">
      <alignment wrapText="1" readingOrder="1"/>
    </xf>
    <xf numFmtId="0" fontId="8" fillId="6" borderId="0" xfId="0" applyFont="1" applyFill="1" applyBorder="1" applyAlignment="1">
      <alignment wrapText="1" readingOrder="1"/>
    </xf>
    <xf numFmtId="0" fontId="12" fillId="6" borderId="0" xfId="0" applyFont="1" applyFill="1" applyBorder="1" applyAlignment="1"/>
    <xf numFmtId="0" fontId="2" fillId="6" borderId="0" xfId="0" applyFont="1" applyFill="1" applyBorder="1" applyAlignment="1"/>
    <xf numFmtId="0" fontId="2" fillId="6" borderId="0" xfId="0" applyFont="1" applyFill="1" applyBorder="1" applyAlignment="1"/>
    <xf numFmtId="0" fontId="2" fillId="2" borderId="0" xfId="0" applyFont="1" applyFill="1" applyBorder="1" applyAlignment="1"/>
    <xf numFmtId="0" fontId="10" fillId="6" borderId="0" xfId="0" applyFont="1" applyFill="1" applyBorder="1" applyAlignment="1">
      <alignment wrapText="1" readingOrder="1"/>
    </xf>
    <xf numFmtId="0" fontId="10" fillId="6" borderId="0" xfId="0" applyFont="1" applyFill="1" applyBorder="1" applyAlignment="1">
      <alignment wrapText="1" readingOrder="1"/>
    </xf>
    <xf numFmtId="0" fontId="8" fillId="6" borderId="0" xfId="0" applyFont="1" applyFill="1" applyBorder="1" applyAlignment="1">
      <alignment wrapText="1" readingOrder="1"/>
    </xf>
    <xf numFmtId="0" fontId="2" fillId="6" borderId="0" xfId="0" applyFont="1" applyFill="1" applyBorder="1" applyAlignment="1"/>
    <xf numFmtId="0" fontId="2" fillId="2" borderId="28" xfId="0" applyFont="1" applyFill="1" applyBorder="1" applyAlignment="1"/>
    <xf numFmtId="0" fontId="2" fillId="6" borderId="0" xfId="0" applyFont="1" applyFill="1" applyBorder="1" applyAlignment="1"/>
    <xf numFmtId="0" fontId="2" fillId="2" borderId="0" xfId="0" applyFont="1" applyFill="1" applyBorder="1" applyAlignment="1"/>
    <xf numFmtId="0" fontId="3" fillId="2" borderId="0" xfId="0" applyFont="1" applyFill="1" applyBorder="1" applyAlignment="1">
      <alignment wrapText="1"/>
    </xf>
    <xf numFmtId="0" fontId="6" fillId="2" borderId="0" xfId="0" applyFont="1" applyFill="1" applyBorder="1" applyAlignment="1"/>
    <xf numFmtId="0" fontId="3" fillId="2" borderId="0" xfId="0" applyFont="1" applyFill="1" applyBorder="1" applyAlignment="1">
      <alignment horizontal="center" wrapText="1"/>
    </xf>
    <xf numFmtId="0" fontId="13" fillId="2" borderId="0" xfId="49" applyFont="1" applyFill="1" applyBorder="1" applyAlignment="1">
      <alignment horizontal="center" vertical="center" wrapText="1"/>
    </xf>
    <xf numFmtId="0" fontId="3" fillId="2" borderId="0" xfId="0" applyFont="1" applyFill="1" applyBorder="1" applyAlignment="1">
      <alignment vertical="top" wrapText="1"/>
    </xf>
    <xf numFmtId="0" fontId="10" fillId="6" borderId="0" xfId="0" applyFont="1" applyFill="1" applyBorder="1" applyAlignment="1">
      <alignment wrapText="1" readingOrder="1"/>
    </xf>
    <xf numFmtId="0" fontId="1" fillId="4" borderId="0" xfId="0" applyFont="1" applyFill="1" applyBorder="1" applyAlignment="1">
      <alignment vertical="top"/>
    </xf>
    <xf numFmtId="0" fontId="1" fillId="4" borderId="0" xfId="0" applyFont="1" applyFill="1" applyBorder="1" applyAlignment="1">
      <alignment vertical="top"/>
    </xf>
    <xf numFmtId="0" fontId="10" fillId="6" borderId="0" xfId="0" applyFont="1" applyFill="1" applyBorder="1" applyAlignment="1">
      <alignment wrapText="1" readingOrder="1"/>
    </xf>
    <xf numFmtId="0" fontId="10" fillId="6" borderId="0" xfId="0" applyFont="1" applyFill="1" applyBorder="1" applyAlignment="1">
      <alignment wrapText="1" readingOrder="1"/>
    </xf>
    <xf numFmtId="0" fontId="8" fillId="6" borderId="0" xfId="0" applyFont="1" applyFill="1" applyBorder="1" applyAlignment="1">
      <alignment wrapText="1" readingOrder="1"/>
    </xf>
    <xf numFmtId="0" fontId="8" fillId="6" borderId="0" xfId="0" applyFont="1" applyFill="1" applyBorder="1" applyAlignment="1">
      <alignment wrapText="1" readingOrder="1"/>
    </xf>
    <xf numFmtId="0" fontId="13" fillId="2" borderId="0" xfId="49" applyFont="1" applyFill="1" applyBorder="1" applyAlignment="1">
      <alignment horizontal="left" vertical="center"/>
    </xf>
    <xf numFmtId="0" fontId="10" fillId="6" borderId="0" xfId="0" applyFont="1" applyFill="1" applyBorder="1" applyAlignment="1">
      <alignment wrapText="1" readingOrder="1"/>
    </xf>
    <xf numFmtId="0" fontId="10" fillId="6" borderId="0" xfId="0" applyFont="1" applyFill="1" applyBorder="1" applyAlignment="1">
      <alignment wrapText="1" readingOrder="1"/>
    </xf>
    <xf numFmtId="0" fontId="8" fillId="6" borderId="0" xfId="0" applyFont="1" applyFill="1" applyBorder="1" applyAlignment="1">
      <alignment wrapText="1" readingOrder="1"/>
    </xf>
    <xf numFmtId="0" fontId="3" fillId="2" borderId="0" xfId="0" applyFont="1" applyFill="1" applyBorder="1" applyAlignment="1"/>
    <xf numFmtId="0" fontId="2" fillId="4" borderId="0" xfId="0" applyFont="1" applyFill="1" applyBorder="1" applyAlignment="1"/>
    <xf numFmtId="0" fontId="3" fillId="2" borderId="0" xfId="0" applyFont="1" applyFill="1" applyBorder="1" applyAlignment="1"/>
    <xf numFmtId="0" fontId="1" fillId="2" borderId="0" xfId="0" applyFont="1" applyFill="1" applyBorder="1" applyAlignment="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Sheet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8"/>
  <sheetViews>
    <sheetView tabSelected="1" workbookViewId="0">
      <selection activeCell="M11" sqref="M11"/>
    </sheetView>
  </sheetViews>
  <sheetFormatPr defaultColWidth="10.2857142857143" defaultRowHeight="12.75"/>
  <cols>
    <col min="1" max="1" width="13.4571428571429" style="3" customWidth="1"/>
    <col min="2" max="2" width="21.8380952380952" style="3" customWidth="1"/>
    <col min="3" max="3" width="36.6952380952381" style="3" customWidth="1"/>
    <col min="4" max="4" width="32.5047619047619" style="3" customWidth="1"/>
    <col min="5" max="5" width="17.1428571428571" style="3" customWidth="1"/>
    <col min="6" max="6" width="8.12380952380952" style="3" customWidth="1"/>
    <col min="7" max="7" width="13.4571428571429" style="3" customWidth="1"/>
    <col min="8" max="8" width="36.4380952380952" style="3" customWidth="1"/>
    <col min="9" max="9" width="9.39047619047619" style="4" customWidth="1"/>
    <col min="10" max="10" width="10.2857142857143" style="3" hidden="1" customWidth="1"/>
    <col min="11" max="16384" width="10.2857142857143" style="3"/>
  </cols>
  <sheetData>
    <row r="1" s="1" customFormat="1" ht="13.5" spans="1:9">
      <c r="A1" s="5"/>
      <c r="B1" s="6"/>
      <c r="C1" s="6"/>
      <c r="D1" s="6"/>
      <c r="E1" s="6"/>
      <c r="F1" s="7"/>
      <c r="G1" s="8"/>
      <c r="H1" s="9"/>
      <c r="I1" s="83"/>
    </row>
    <row r="2" s="1" customFormat="1" ht="15" customHeight="1" spans="1:10">
      <c r="A2" s="10" t="s">
        <v>0</v>
      </c>
      <c r="B2" s="11" t="s">
        <v>1</v>
      </c>
      <c r="C2" s="11"/>
      <c r="D2" s="11"/>
      <c r="E2" s="11"/>
      <c r="F2" s="11"/>
      <c r="G2" s="12"/>
      <c r="H2" s="9"/>
      <c r="I2" s="83"/>
      <c r="J2" s="1" t="s">
        <v>2</v>
      </c>
    </row>
    <row r="3" s="1" customFormat="1" ht="25.5" customHeight="1" spans="1:10">
      <c r="A3" s="13" t="s">
        <v>3</v>
      </c>
      <c r="B3" s="11" t="s">
        <v>4</v>
      </c>
      <c r="C3" s="11"/>
      <c r="D3" s="11"/>
      <c r="E3" s="11"/>
      <c r="F3" s="11"/>
      <c r="G3" s="12"/>
      <c r="H3" s="9"/>
      <c r="I3" s="83"/>
      <c r="J3" s="1" t="s">
        <v>5</v>
      </c>
    </row>
    <row r="4" s="1" customFormat="1" ht="18" customHeight="1" spans="1:10">
      <c r="A4" s="10" t="s">
        <v>6</v>
      </c>
      <c r="B4" s="14"/>
      <c r="C4" s="14"/>
      <c r="D4" s="14"/>
      <c r="E4" s="14"/>
      <c r="F4" s="14"/>
      <c r="G4" s="12"/>
      <c r="H4" s="9"/>
      <c r="I4" s="83"/>
      <c r="J4" s="84"/>
    </row>
    <row r="5" s="1" customFormat="1" ht="19.5" customHeight="1" spans="1:10">
      <c r="A5" s="15" t="s">
        <v>2</v>
      </c>
      <c r="B5" s="16" t="s">
        <v>5</v>
      </c>
      <c r="C5" s="16" t="s">
        <v>7</v>
      </c>
      <c r="D5" s="17" t="s">
        <v>8</v>
      </c>
      <c r="E5" s="18" t="s">
        <v>9</v>
      </c>
      <c r="F5" s="18"/>
      <c r="G5" s="19"/>
      <c r="H5" s="19"/>
      <c r="I5" s="85"/>
      <c r="J5" s="1" t="s">
        <v>10</v>
      </c>
    </row>
    <row r="6" s="1" customFormat="1" ht="15" customHeight="1" spans="1:10">
      <c r="A6" s="20">
        <f>COUNTIF(F9:F997,"Pass")</f>
        <v>7</v>
      </c>
      <c r="B6" s="21">
        <f>COUNTIF(F9:F997,"Fail")</f>
        <v>0</v>
      </c>
      <c r="C6" s="21">
        <f>E6-D6-B6-A6</f>
        <v>0</v>
      </c>
      <c r="D6" s="22">
        <f>COUNTIF(F$9:F$997,"N/A")</f>
        <v>0</v>
      </c>
      <c r="E6" s="23">
        <f>COUNTA(A9:A997)</f>
        <v>7</v>
      </c>
      <c r="F6" s="23"/>
      <c r="G6" s="19"/>
      <c r="H6" s="19"/>
      <c r="I6" s="85"/>
      <c r="J6" s="1" t="s">
        <v>8</v>
      </c>
    </row>
    <row r="7" s="1" customFormat="1" ht="15" customHeight="1" spans="4:9">
      <c r="D7" s="24"/>
      <c r="E7" s="24"/>
      <c r="F7" s="19"/>
      <c r="G7" s="19"/>
      <c r="H7" s="19"/>
      <c r="I7" s="85"/>
    </row>
    <row r="8" s="1" customFormat="1" ht="25.5" customHeight="1" spans="1:9">
      <c r="A8" s="25" t="s">
        <v>11</v>
      </c>
      <c r="B8" s="25" t="s">
        <v>12</v>
      </c>
      <c r="C8" s="25" t="s">
        <v>13</v>
      </c>
      <c r="D8" s="25" t="s">
        <v>14</v>
      </c>
      <c r="E8" s="26" t="s">
        <v>15</v>
      </c>
      <c r="F8" s="26" t="s">
        <v>16</v>
      </c>
      <c r="G8" s="26" t="s">
        <v>15</v>
      </c>
      <c r="H8" s="27" t="s">
        <v>17</v>
      </c>
      <c r="I8" s="86"/>
    </row>
    <row r="9" s="2" customFormat="1" ht="99.75" spans="1:16">
      <c r="A9" s="28" t="s">
        <v>18</v>
      </c>
      <c r="B9" s="28" t="s">
        <v>19</v>
      </c>
      <c r="C9" s="28" t="s">
        <v>20</v>
      </c>
      <c r="D9" s="28" t="s">
        <v>21</v>
      </c>
      <c r="E9" s="28" t="s">
        <v>22</v>
      </c>
      <c r="F9" s="29" t="s">
        <v>2</v>
      </c>
      <c r="G9" s="30"/>
      <c r="H9" s="31"/>
      <c r="I9" s="87"/>
      <c r="K9" s="88"/>
      <c r="L9" s="88"/>
      <c r="M9" s="88"/>
      <c r="N9" s="88"/>
      <c r="O9" s="88"/>
      <c r="P9" s="88"/>
    </row>
    <row r="10" s="2" customFormat="1" ht="99.75" spans="1:16">
      <c r="A10" s="28" t="s">
        <v>23</v>
      </c>
      <c r="B10" s="28" t="s">
        <v>24</v>
      </c>
      <c r="C10" s="28" t="s">
        <v>25</v>
      </c>
      <c r="D10" s="28" t="s">
        <v>26</v>
      </c>
      <c r="E10" s="28" t="s">
        <v>8</v>
      </c>
      <c r="F10" s="29" t="s">
        <v>2</v>
      </c>
      <c r="G10" s="30"/>
      <c r="H10" s="31"/>
      <c r="I10" s="87"/>
      <c r="K10" s="89"/>
      <c r="L10" s="90"/>
      <c r="M10" s="90"/>
      <c r="N10" s="90"/>
      <c r="O10" s="90"/>
      <c r="P10" s="90"/>
    </row>
    <row r="11" s="3" customFormat="1" ht="99.75" spans="1:16">
      <c r="A11" s="28" t="s">
        <v>27</v>
      </c>
      <c r="B11" s="28" t="s">
        <v>28</v>
      </c>
      <c r="C11" s="28" t="s">
        <v>29</v>
      </c>
      <c r="D11" s="28" t="s">
        <v>30</v>
      </c>
      <c r="E11" s="28" t="s">
        <v>8</v>
      </c>
      <c r="F11" s="32" t="s">
        <v>2</v>
      </c>
      <c r="G11" s="33"/>
      <c r="H11" s="34"/>
      <c r="I11" s="87"/>
      <c r="K11" s="91"/>
      <c r="L11" s="88"/>
      <c r="M11" s="92"/>
      <c r="N11" s="93"/>
      <c r="O11" s="93"/>
      <c r="P11" s="94"/>
    </row>
    <row r="12" s="3" customFormat="1" ht="129.75" customHeight="1" spans="1:16">
      <c r="A12" s="28" t="s">
        <v>31</v>
      </c>
      <c r="B12" s="28" t="s">
        <v>32</v>
      </c>
      <c r="C12" s="28" t="s">
        <v>33</v>
      </c>
      <c r="D12" s="28" t="s">
        <v>34</v>
      </c>
      <c r="E12" s="28" t="s">
        <v>35</v>
      </c>
      <c r="F12" s="32" t="s">
        <v>2</v>
      </c>
      <c r="G12" s="33"/>
      <c r="H12" s="34"/>
      <c r="I12" s="87"/>
      <c r="K12" s="88"/>
      <c r="L12" s="88"/>
      <c r="M12" s="92"/>
      <c r="N12" s="93"/>
      <c r="O12" s="93"/>
      <c r="P12" s="94"/>
    </row>
    <row r="13" s="1" customFormat="1" ht="114" spans="1:17">
      <c r="A13" s="28" t="s">
        <v>36</v>
      </c>
      <c r="B13" s="28" t="s">
        <v>37</v>
      </c>
      <c r="C13" s="28" t="s">
        <v>38</v>
      </c>
      <c r="D13" s="28" t="s">
        <v>39</v>
      </c>
      <c r="E13" s="28" t="s">
        <v>40</v>
      </c>
      <c r="F13" s="32" t="s">
        <v>2</v>
      </c>
      <c r="G13" s="33"/>
      <c r="H13" s="34"/>
      <c r="I13" s="95"/>
      <c r="K13" s="88"/>
      <c r="L13" s="88"/>
      <c r="M13" s="92"/>
      <c r="N13" s="93"/>
      <c r="O13" s="93"/>
      <c r="P13" s="94"/>
      <c r="Q13" s="102"/>
    </row>
    <row r="14" s="3" customFormat="1" ht="114" spans="1:16">
      <c r="A14" s="28" t="s">
        <v>41</v>
      </c>
      <c r="B14" s="28" t="s">
        <v>42</v>
      </c>
      <c r="C14" s="28" t="s">
        <v>43</v>
      </c>
      <c r="D14" s="28" t="s">
        <v>44</v>
      </c>
      <c r="E14" s="28" t="s">
        <v>45</v>
      </c>
      <c r="F14" s="35" t="s">
        <v>2</v>
      </c>
      <c r="G14" s="36"/>
      <c r="H14" s="37"/>
      <c r="I14" s="87"/>
      <c r="K14" s="96"/>
      <c r="L14" s="88"/>
      <c r="M14" s="97"/>
      <c r="N14" s="98"/>
      <c r="O14" s="98"/>
      <c r="P14" s="94"/>
    </row>
    <row r="15" s="3" customFormat="1" ht="99.75" spans="1:16">
      <c r="A15" s="38" t="s">
        <v>46</v>
      </c>
      <c r="B15" s="38" t="s">
        <v>47</v>
      </c>
      <c r="C15" s="38" t="s">
        <v>48</v>
      </c>
      <c r="D15" s="38" t="s">
        <v>49</v>
      </c>
      <c r="E15" s="38" t="s">
        <v>50</v>
      </c>
      <c r="F15" s="39" t="s">
        <v>2</v>
      </c>
      <c r="G15" s="40"/>
      <c r="H15" s="41"/>
      <c r="I15" s="99"/>
      <c r="K15" s="100"/>
      <c r="L15" s="100"/>
      <c r="M15" s="100"/>
      <c r="N15" s="100"/>
      <c r="O15" s="100"/>
      <c r="P15" s="100"/>
    </row>
    <row r="16" s="1" customFormat="1" ht="15.75" customHeight="1" spans="1:16">
      <c r="A16" s="42"/>
      <c r="B16" s="42"/>
      <c r="C16" s="42"/>
      <c r="D16" s="42"/>
      <c r="E16" s="42"/>
      <c r="F16" s="42"/>
      <c r="G16" s="42"/>
      <c r="H16" s="43"/>
      <c r="I16" s="95"/>
      <c r="K16" s="88"/>
      <c r="L16" s="88"/>
      <c r="M16" s="92"/>
      <c r="N16" s="93"/>
      <c r="O16" s="93"/>
      <c r="P16" s="94"/>
    </row>
    <row r="17" s="3" customFormat="1" ht="15" spans="9:16">
      <c r="I17" s="87"/>
      <c r="K17" s="88"/>
      <c r="L17" s="88"/>
      <c r="M17" s="92"/>
      <c r="N17" s="93"/>
      <c r="O17" s="93"/>
      <c r="P17" s="94"/>
    </row>
    <row r="18" s="3" customFormat="1" customHeight="1" spans="2:16">
      <c r="B18" s="44"/>
      <c r="C18" s="45"/>
      <c r="D18" s="46"/>
      <c r="E18" s="47"/>
      <c r="F18" s="48"/>
      <c r="G18" s="49"/>
      <c r="H18" s="50"/>
      <c r="I18" s="4"/>
      <c r="K18" s="88"/>
      <c r="L18" s="88"/>
      <c r="M18" s="92"/>
      <c r="N18" s="93"/>
      <c r="O18" s="93"/>
      <c r="P18" s="94"/>
    </row>
    <row r="19" s="3" customFormat="1" ht="15" spans="2:16">
      <c r="B19" s="51"/>
      <c r="C19" s="52"/>
      <c r="D19" s="53"/>
      <c r="E19" s="54"/>
      <c r="F19" s="55"/>
      <c r="G19" s="56"/>
      <c r="H19" s="57"/>
      <c r="I19" s="4"/>
      <c r="K19" s="88"/>
      <c r="L19" s="88"/>
      <c r="M19" s="97"/>
      <c r="N19" s="98"/>
      <c r="O19" s="98"/>
      <c r="P19" s="94"/>
    </row>
    <row r="20" s="3" customFormat="1" ht="16.5" customHeight="1" spans="2:16">
      <c r="B20" s="58"/>
      <c r="C20" s="59"/>
      <c r="D20" s="60"/>
      <c r="E20" s="60"/>
      <c r="F20" s="60"/>
      <c r="G20" s="56"/>
      <c r="H20" s="57"/>
      <c r="I20" s="4"/>
      <c r="K20" s="100"/>
      <c r="L20" s="100"/>
      <c r="M20" s="100"/>
      <c r="N20" s="100"/>
      <c r="O20" s="100"/>
      <c r="P20" s="100"/>
    </row>
    <row r="21" s="3" customFormat="1" ht="16.5" customHeight="1" spans="2:16">
      <c r="B21" s="61"/>
      <c r="C21" s="62"/>
      <c r="D21" s="63"/>
      <c r="E21" s="63"/>
      <c r="F21" s="63"/>
      <c r="G21" s="56"/>
      <c r="H21" s="57"/>
      <c r="I21" s="4"/>
      <c r="K21" s="88"/>
      <c r="L21" s="88"/>
      <c r="M21" s="92"/>
      <c r="N21" s="93"/>
      <c r="O21" s="93"/>
      <c r="P21" s="94"/>
    </row>
    <row r="22" s="3" customFormat="1" ht="15" spans="2:16">
      <c r="B22" s="64"/>
      <c r="C22" s="62"/>
      <c r="D22" s="65"/>
      <c r="E22" s="65"/>
      <c r="F22" s="66"/>
      <c r="G22" s="56"/>
      <c r="H22" s="57"/>
      <c r="I22" s="4"/>
      <c r="K22" s="88"/>
      <c r="L22" s="88"/>
      <c r="M22" s="92"/>
      <c r="N22" s="93"/>
      <c r="O22" s="93"/>
      <c r="P22" s="94"/>
    </row>
    <row r="23" s="3" customFormat="1" ht="15" spans="2:16">
      <c r="B23" s="64"/>
      <c r="C23" s="62"/>
      <c r="D23" s="65"/>
      <c r="E23" s="65"/>
      <c r="F23" s="66"/>
      <c r="G23" s="56"/>
      <c r="H23" s="57"/>
      <c r="I23" s="4"/>
      <c r="K23" s="88"/>
      <c r="L23" s="88"/>
      <c r="M23" s="92"/>
      <c r="N23" s="93"/>
      <c r="O23" s="93"/>
      <c r="P23" s="94"/>
    </row>
    <row r="24" s="3" customFormat="1" ht="15" spans="2:16">
      <c r="B24" s="64"/>
      <c r="C24" s="62"/>
      <c r="D24" s="65"/>
      <c r="E24" s="65"/>
      <c r="F24" s="66"/>
      <c r="G24" s="56"/>
      <c r="H24" s="57"/>
      <c r="I24" s="4"/>
      <c r="K24" s="88"/>
      <c r="L24" s="88"/>
      <c r="M24" s="92"/>
      <c r="N24" s="93"/>
      <c r="O24" s="93"/>
      <c r="P24" s="94"/>
    </row>
    <row r="25" s="3" customFormat="1" ht="15" spans="2:16">
      <c r="B25" s="64"/>
      <c r="C25" s="62"/>
      <c r="D25" s="65"/>
      <c r="E25" s="65"/>
      <c r="F25" s="66"/>
      <c r="G25" s="56"/>
      <c r="H25" s="57"/>
      <c r="I25" s="4"/>
      <c r="K25" s="100"/>
      <c r="L25" s="88"/>
      <c r="M25" s="92"/>
      <c r="N25" s="93"/>
      <c r="O25" s="93"/>
      <c r="P25" s="94"/>
    </row>
    <row r="26" s="3" customFormat="1" ht="15" spans="2:16">
      <c r="B26" s="64"/>
      <c r="C26" s="62"/>
      <c r="D26" s="65"/>
      <c r="E26" s="65"/>
      <c r="F26" s="66"/>
      <c r="G26" s="56"/>
      <c r="H26" s="67"/>
      <c r="I26" s="4"/>
      <c r="K26" s="88"/>
      <c r="L26" s="88"/>
      <c r="M26" s="92"/>
      <c r="N26" s="93"/>
      <c r="O26" s="93"/>
      <c r="P26" s="94"/>
    </row>
    <row r="27" s="3" customFormat="1" ht="43.5" customHeight="1" spans="2:16">
      <c r="B27" s="64"/>
      <c r="C27" s="62"/>
      <c r="D27" s="65"/>
      <c r="E27" s="65"/>
      <c r="F27" s="66"/>
      <c r="G27" s="56"/>
      <c r="H27" s="57"/>
      <c r="I27" s="4"/>
      <c r="K27" s="88"/>
      <c r="L27" s="88"/>
      <c r="M27" s="92"/>
      <c r="N27" s="93"/>
      <c r="O27" s="93"/>
      <c r="P27" s="94"/>
    </row>
    <row r="28" s="3" customFormat="1" ht="30.75" customHeight="1" spans="2:16">
      <c r="B28" s="61"/>
      <c r="C28" s="63"/>
      <c r="D28" s="63"/>
      <c r="E28" s="63"/>
      <c r="F28" s="63"/>
      <c r="G28" s="56"/>
      <c r="H28" s="57"/>
      <c r="I28" s="4"/>
      <c r="K28" s="100"/>
      <c r="L28" s="88"/>
      <c r="M28" s="97"/>
      <c r="N28" s="98"/>
      <c r="O28" s="98"/>
      <c r="P28" s="94"/>
    </row>
    <row r="29" s="3" customFormat="1" ht="15" spans="2:16">
      <c r="B29" s="64"/>
      <c r="C29" s="60"/>
      <c r="D29" s="65"/>
      <c r="E29" s="65"/>
      <c r="F29" s="65"/>
      <c r="G29" s="56"/>
      <c r="H29" s="57"/>
      <c r="I29" s="4"/>
      <c r="K29" s="92"/>
      <c r="L29" s="100"/>
      <c r="M29" s="100"/>
      <c r="N29" s="100"/>
      <c r="O29" s="100"/>
      <c r="P29" s="100"/>
    </row>
    <row r="30" s="3" customFormat="1" ht="15" spans="2:16">
      <c r="B30" s="64"/>
      <c r="C30" s="60"/>
      <c r="D30" s="65"/>
      <c r="E30" s="65"/>
      <c r="F30" s="65"/>
      <c r="G30" s="56"/>
      <c r="H30" s="57"/>
      <c r="I30" s="4"/>
      <c r="K30" s="92"/>
      <c r="L30" s="88"/>
      <c r="M30" s="92"/>
      <c r="N30" s="93"/>
      <c r="O30" s="93"/>
      <c r="P30" s="94"/>
    </row>
    <row r="31" s="3" customFormat="1" ht="15" spans="2:16">
      <c r="B31" s="64"/>
      <c r="C31" s="60"/>
      <c r="D31" s="65"/>
      <c r="E31" s="65"/>
      <c r="F31" s="68"/>
      <c r="G31" s="56"/>
      <c r="H31" s="57"/>
      <c r="I31" s="4"/>
      <c r="K31" s="92"/>
      <c r="L31" s="88"/>
      <c r="M31" s="92"/>
      <c r="N31" s="93"/>
      <c r="O31" s="93"/>
      <c r="P31" s="94"/>
    </row>
    <row r="32" s="3" customFormat="1" ht="144" customHeight="1" spans="2:16">
      <c r="B32" s="69"/>
      <c r="C32" s="70"/>
      <c r="D32" s="71"/>
      <c r="E32" s="71"/>
      <c r="F32" s="72"/>
      <c r="G32" s="73"/>
      <c r="H32" s="67"/>
      <c r="I32" s="4"/>
      <c r="K32" s="92"/>
      <c r="L32" s="88"/>
      <c r="M32" s="93"/>
      <c r="N32" s="93"/>
      <c r="O32" s="93"/>
      <c r="P32" s="94"/>
    </row>
    <row r="33" s="3" customFormat="1" ht="87" customHeight="1" spans="2:16">
      <c r="B33" s="64"/>
      <c r="C33" s="60"/>
      <c r="D33" s="65"/>
      <c r="E33" s="65"/>
      <c r="F33" s="68"/>
      <c r="G33" s="74"/>
      <c r="H33" s="75"/>
      <c r="I33" s="101"/>
      <c r="J33" s="82"/>
      <c r="K33" s="92"/>
      <c r="L33" s="88"/>
      <c r="M33" s="93"/>
      <c r="N33" s="93"/>
      <c r="O33" s="93"/>
      <c r="P33" s="94"/>
    </row>
    <row r="34" s="3" customFormat="1" ht="15" spans="2:16">
      <c r="B34" s="64"/>
      <c r="C34" s="60"/>
      <c r="D34" s="65"/>
      <c r="E34" s="65"/>
      <c r="F34" s="68"/>
      <c r="G34" s="74"/>
      <c r="H34" s="57"/>
      <c r="I34" s="4"/>
      <c r="K34" s="97"/>
      <c r="L34" s="88"/>
      <c r="M34" s="93"/>
      <c r="N34" s="93"/>
      <c r="O34" s="93"/>
      <c r="P34" s="94"/>
    </row>
    <row r="35" s="3" customFormat="1" ht="15" spans="2:16">
      <c r="B35" s="64"/>
      <c r="C35" s="60"/>
      <c r="D35" s="65"/>
      <c r="E35" s="65"/>
      <c r="F35" s="68"/>
      <c r="G35" s="74"/>
      <c r="H35" s="57"/>
      <c r="I35" s="4"/>
      <c r="K35" s="82"/>
      <c r="L35" s="88"/>
      <c r="M35" s="98"/>
      <c r="N35" s="98"/>
      <c r="O35" s="98"/>
      <c r="P35" s="94"/>
    </row>
    <row r="36" s="3" customFormat="1" ht="15.75" customHeight="1" spans="2:16">
      <c r="B36" s="64"/>
      <c r="C36" s="60"/>
      <c r="D36" s="65"/>
      <c r="E36" s="65"/>
      <c r="F36" s="68"/>
      <c r="G36" s="74"/>
      <c r="H36" s="57"/>
      <c r="I36" s="4"/>
      <c r="K36" s="82"/>
      <c r="L36" s="100"/>
      <c r="M36" s="100"/>
      <c r="N36" s="100"/>
      <c r="O36" s="100"/>
      <c r="P36" s="100"/>
    </row>
    <row r="37" s="3" customFormat="1" ht="144" customHeight="1" spans="2:16">
      <c r="B37" s="61"/>
      <c r="C37" s="63"/>
      <c r="D37" s="63"/>
      <c r="E37" s="63"/>
      <c r="F37" s="63"/>
      <c r="G37" s="74"/>
      <c r="H37" s="57"/>
      <c r="I37" s="4"/>
      <c r="K37" s="82"/>
      <c r="L37" s="88"/>
      <c r="M37" s="92"/>
      <c r="N37" s="93"/>
      <c r="O37" s="93"/>
      <c r="P37" s="94"/>
    </row>
    <row r="38" s="3" customFormat="1" ht="15" spans="2:16">
      <c r="B38" s="64"/>
      <c r="C38" s="60"/>
      <c r="D38" s="65"/>
      <c r="E38" s="65"/>
      <c r="F38" s="66"/>
      <c r="G38" s="74"/>
      <c r="H38" s="57"/>
      <c r="I38" s="4"/>
      <c r="L38" s="88"/>
      <c r="M38" s="92"/>
      <c r="N38" s="93"/>
      <c r="O38" s="93"/>
      <c r="P38" s="94"/>
    </row>
    <row r="39" s="3" customFormat="1" ht="15" spans="2:16">
      <c r="B39" s="64"/>
      <c r="C39" s="60"/>
      <c r="D39" s="65"/>
      <c r="E39" s="65"/>
      <c r="F39" s="66"/>
      <c r="G39" s="74"/>
      <c r="H39" s="57"/>
      <c r="I39" s="4"/>
      <c r="L39" s="88"/>
      <c r="M39" s="92"/>
      <c r="N39" s="93"/>
      <c r="O39" s="93"/>
      <c r="P39" s="94"/>
    </row>
    <row r="40" s="3" customFormat="1" ht="87" customHeight="1" spans="2:16">
      <c r="B40" s="64"/>
      <c r="C40" s="60"/>
      <c r="D40" s="65"/>
      <c r="E40" s="65"/>
      <c r="F40" s="66"/>
      <c r="G40" s="74"/>
      <c r="H40" s="57"/>
      <c r="I40" s="4"/>
      <c r="L40" s="88"/>
      <c r="M40" s="97"/>
      <c r="N40" s="98"/>
      <c r="O40" s="98"/>
      <c r="P40" s="94"/>
    </row>
    <row r="41" s="3" customFormat="1" ht="15" spans="2:16">
      <c r="B41" s="64"/>
      <c r="C41" s="60"/>
      <c r="D41" s="65"/>
      <c r="E41" s="65"/>
      <c r="F41" s="66"/>
      <c r="G41" s="74"/>
      <c r="H41" s="57"/>
      <c r="I41" s="4"/>
      <c r="L41" s="100"/>
      <c r="M41" s="100"/>
      <c r="N41" s="100"/>
      <c r="O41" s="100"/>
      <c r="P41" s="100"/>
    </row>
    <row r="42" s="3" customFormat="1" ht="159" customHeight="1" spans="2:16">
      <c r="B42" s="64"/>
      <c r="C42" s="60"/>
      <c r="D42" s="65"/>
      <c r="E42" s="65"/>
      <c r="F42" s="66"/>
      <c r="G42" s="74"/>
      <c r="H42" s="57"/>
      <c r="I42" s="4"/>
      <c r="L42" s="100"/>
      <c r="M42" s="100"/>
      <c r="N42" s="100"/>
      <c r="O42" s="100"/>
      <c r="P42" s="100"/>
    </row>
    <row r="43" s="3" customFormat="1" ht="15" spans="2:16">
      <c r="B43" s="64"/>
      <c r="C43" s="60"/>
      <c r="D43" s="65"/>
      <c r="E43" s="65"/>
      <c r="F43" s="66"/>
      <c r="G43" s="74"/>
      <c r="H43" s="57"/>
      <c r="I43" s="4"/>
      <c r="L43" s="88"/>
      <c r="M43" s="92"/>
      <c r="N43" s="93"/>
      <c r="O43" s="93"/>
      <c r="P43" s="94"/>
    </row>
    <row r="44" s="3" customFormat="1" ht="15" spans="2:16">
      <c r="B44" s="64"/>
      <c r="C44" s="60"/>
      <c r="D44" s="65"/>
      <c r="E44" s="65"/>
      <c r="F44" s="66"/>
      <c r="G44" s="74"/>
      <c r="H44" s="57"/>
      <c r="I44" s="4"/>
      <c r="L44" s="88"/>
      <c r="M44" s="92"/>
      <c r="N44" s="93"/>
      <c r="O44" s="93"/>
      <c r="P44" s="94"/>
    </row>
    <row r="45" s="3" customFormat="1" ht="15" spans="2:16">
      <c r="B45" s="64"/>
      <c r="C45" s="60"/>
      <c r="D45" s="65"/>
      <c r="E45" s="65"/>
      <c r="F45" s="66"/>
      <c r="G45" s="74"/>
      <c r="H45" s="57"/>
      <c r="I45" s="4"/>
      <c r="L45" s="88"/>
      <c r="M45" s="92"/>
      <c r="N45" s="93"/>
      <c r="O45" s="93"/>
      <c r="P45" s="94"/>
    </row>
    <row r="46" s="3" customFormat="1" ht="15" spans="2:16">
      <c r="B46" s="61"/>
      <c r="C46" s="63"/>
      <c r="D46" s="63"/>
      <c r="E46" s="63"/>
      <c r="F46" s="63"/>
      <c r="G46" s="74"/>
      <c r="H46" s="57"/>
      <c r="I46" s="4"/>
      <c r="L46" s="88"/>
      <c r="M46" s="92"/>
      <c r="N46" s="93"/>
      <c r="O46" s="93"/>
      <c r="P46" s="94"/>
    </row>
    <row r="47" s="3" customFormat="1" ht="15" spans="2:16">
      <c r="B47" s="64"/>
      <c r="C47" s="60"/>
      <c r="D47" s="65"/>
      <c r="E47" s="65"/>
      <c r="F47" s="65"/>
      <c r="G47" s="74"/>
      <c r="H47" s="57"/>
      <c r="I47" s="4"/>
      <c r="L47" s="88"/>
      <c r="M47" s="97"/>
      <c r="N47" s="98"/>
      <c r="O47" s="98"/>
      <c r="P47" s="94"/>
    </row>
    <row r="48" s="3" customFormat="1" ht="15" spans="2:16">
      <c r="B48" s="64"/>
      <c r="C48" s="60"/>
      <c r="D48" s="65"/>
      <c r="E48" s="65"/>
      <c r="F48" s="65"/>
      <c r="G48" s="74"/>
      <c r="H48" s="57"/>
      <c r="I48" s="4"/>
      <c r="L48" s="100"/>
      <c r="M48" s="100"/>
      <c r="N48" s="100"/>
      <c r="O48" s="100"/>
      <c r="P48" s="100"/>
    </row>
    <row r="49" s="3" customFormat="1" ht="15" spans="2:16">
      <c r="B49" s="64"/>
      <c r="C49" s="60"/>
      <c r="D49" s="65"/>
      <c r="E49" s="65"/>
      <c r="F49" s="65"/>
      <c r="G49" s="74"/>
      <c r="H49" s="57"/>
      <c r="I49" s="4"/>
      <c r="L49" s="88"/>
      <c r="M49" s="92"/>
      <c r="N49" s="93"/>
      <c r="O49" s="93"/>
      <c r="P49" s="94"/>
    </row>
    <row r="50" s="3" customFormat="1" ht="15" spans="2:16">
      <c r="B50" s="64"/>
      <c r="C50" s="60"/>
      <c r="D50" s="65"/>
      <c r="E50" s="65"/>
      <c r="F50" s="65"/>
      <c r="G50" s="74"/>
      <c r="H50" s="57"/>
      <c r="I50" s="4"/>
      <c r="L50" s="88"/>
      <c r="M50" s="92"/>
      <c r="N50" s="93"/>
      <c r="O50" s="93"/>
      <c r="P50" s="94"/>
    </row>
    <row r="51" s="3" customFormat="1" ht="15" spans="2:16">
      <c r="B51" s="76"/>
      <c r="C51" s="77"/>
      <c r="D51" s="78"/>
      <c r="E51" s="78"/>
      <c r="F51" s="78"/>
      <c r="G51" s="79"/>
      <c r="H51" s="80"/>
      <c r="I51" s="4"/>
      <c r="L51" s="88"/>
      <c r="M51" s="92"/>
      <c r="N51" s="93"/>
      <c r="O51" s="93"/>
      <c r="P51" s="94"/>
    </row>
    <row r="52" s="3" customFormat="1" ht="15" spans="2:16">
      <c r="B52" s="64"/>
      <c r="C52" s="60"/>
      <c r="D52" s="65"/>
      <c r="E52" s="65"/>
      <c r="F52" s="65"/>
      <c r="G52" s="74"/>
      <c r="I52" s="4"/>
      <c r="L52" s="88"/>
      <c r="M52" s="97"/>
      <c r="N52" s="98"/>
      <c r="O52" s="98"/>
      <c r="P52" s="94"/>
    </row>
    <row r="53" s="3" customFormat="1" ht="15" spans="2:9">
      <c r="B53" s="64"/>
      <c r="C53" s="60"/>
      <c r="D53" s="65"/>
      <c r="E53" s="65"/>
      <c r="F53" s="65"/>
      <c r="G53" s="74"/>
      <c r="I53" s="4"/>
    </row>
    <row r="54" s="3" customFormat="1" ht="15" spans="2:9">
      <c r="B54" s="64"/>
      <c r="C54" s="60"/>
      <c r="D54" s="65"/>
      <c r="E54" s="65"/>
      <c r="F54" s="65"/>
      <c r="G54" s="74"/>
      <c r="I54" s="4"/>
    </row>
    <row r="55" s="3" customFormat="1" spans="2:9">
      <c r="B55" s="61"/>
      <c r="C55" s="63"/>
      <c r="D55" s="63"/>
      <c r="E55" s="63"/>
      <c r="F55" s="63"/>
      <c r="G55" s="74"/>
      <c r="I55" s="4"/>
    </row>
    <row r="56" s="3" customFormat="1" ht="15" spans="2:9">
      <c r="B56" s="64"/>
      <c r="C56" s="60"/>
      <c r="D56" s="65"/>
      <c r="E56" s="65"/>
      <c r="F56" s="65"/>
      <c r="G56" s="74"/>
      <c r="I56" s="4"/>
    </row>
    <row r="57" s="3" customFormat="1" ht="15" spans="2:9">
      <c r="B57" s="64"/>
      <c r="C57" s="60"/>
      <c r="D57" s="65"/>
      <c r="E57" s="65"/>
      <c r="F57" s="65"/>
      <c r="G57" s="74"/>
      <c r="I57" s="4"/>
    </row>
    <row r="58" s="3" customFormat="1" spans="2:9">
      <c r="B58" s="61"/>
      <c r="C58" s="63"/>
      <c r="D58" s="63"/>
      <c r="E58" s="63"/>
      <c r="F58" s="63"/>
      <c r="G58" s="74"/>
      <c r="I58" s="4"/>
    </row>
    <row r="59" s="3" customFormat="1" spans="2:9">
      <c r="B59" s="81"/>
      <c r="C59" s="54"/>
      <c r="D59" s="54"/>
      <c r="E59" s="54"/>
      <c r="F59" s="54"/>
      <c r="G59" s="79"/>
      <c r="I59" s="4"/>
    </row>
    <row r="60" s="3" customFormat="1" spans="2:9">
      <c r="B60" s="82"/>
      <c r="C60" s="82"/>
      <c r="D60" s="82"/>
      <c r="E60" s="82"/>
      <c r="F60" s="82"/>
      <c r="G60" s="82"/>
      <c r="I60" s="4"/>
    </row>
    <row r="61" s="3" customFormat="1" spans="2:9">
      <c r="B61" s="82"/>
      <c r="C61" s="82"/>
      <c r="D61" s="82"/>
      <c r="E61" s="82"/>
      <c r="F61" s="82"/>
      <c r="G61" s="82"/>
      <c r="I61" s="4"/>
    </row>
    <row r="62" s="3" customFormat="1" spans="2:9">
      <c r="B62" s="82"/>
      <c r="C62" s="82"/>
      <c r="D62" s="82"/>
      <c r="E62" s="82"/>
      <c r="F62" s="82"/>
      <c r="G62" s="82"/>
      <c r="I62" s="4"/>
    </row>
    <row r="63" s="3" customFormat="1" spans="3:9">
      <c r="C63" s="82"/>
      <c r="D63" s="82"/>
      <c r="E63" s="82"/>
      <c r="F63" s="82"/>
      <c r="G63" s="82"/>
      <c r="I63" s="4"/>
    </row>
    <row r="64" s="3" customFormat="1" spans="3:9">
      <c r="C64" s="82"/>
      <c r="D64" s="82"/>
      <c r="E64" s="82"/>
      <c r="F64" s="82"/>
      <c r="G64" s="82"/>
      <c r="I64" s="4"/>
    </row>
    <row r="65" s="3" customFormat="1" spans="3:9">
      <c r="C65" s="82"/>
      <c r="D65" s="82"/>
      <c r="E65" s="82"/>
      <c r="F65" s="82"/>
      <c r="G65" s="82"/>
      <c r="I65" s="4"/>
    </row>
    <row r="66" s="3" customFormat="1" spans="5:9">
      <c r="E66" s="82"/>
      <c r="F66" s="82"/>
      <c r="G66" s="82"/>
      <c r="I66" s="4"/>
    </row>
    <row r="67" s="3" customFormat="1" spans="5:9">
      <c r="E67" s="82"/>
      <c r="F67" s="82"/>
      <c r="G67" s="82"/>
      <c r="I67" s="4"/>
    </row>
    <row r="68" s="3" customFormat="1" spans="7:9">
      <c r="G68" s="82"/>
      <c r="I68" s="4"/>
    </row>
  </sheetData>
  <mergeCells count="5">
    <mergeCell ref="B2:F2"/>
    <mergeCell ref="B3:F3"/>
    <mergeCell ref="B4:F4"/>
    <mergeCell ref="E5:F5"/>
    <mergeCell ref="E6:F6"/>
  </mergeCells>
  <dataValidations count="1">
    <dataValidation type="list" allowBlank="1" showErrorMessage="1" sqref="F1:F3 F7:F12 F13:F19 F58:F144">
      <formula1>$J$2:$J$6</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luctr</dc:creator>
  <cp:lastModifiedBy>Mikuru Mimix</cp:lastModifiedBy>
  <dcterms:created xsi:type="dcterms:W3CDTF">2025-12-19T05:08:14Z</dcterms:created>
  <dcterms:modified xsi:type="dcterms:W3CDTF">2025-12-19T05:09:14Z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1FD8F86AC5A5461BA0643A856AF5C655_11</vt:lpwstr>
  </property>
  <property fmtid="{D5CDD505-2E9C-101B-9397-08002B2CF9AE}" pid="3" name="KSOProductBuildVer">
    <vt:lpwstr>1033-12.2.0.23155</vt:lpwstr>
  </property>
</Properties>
</file>