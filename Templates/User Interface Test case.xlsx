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090" tabRatio="821" activeTab="2"/>
  </bookViews>
  <sheets>
    <sheet name="Cover" sheetId="1" r:id="rId1"/>
    <sheet name="Test case List" sheetId="2" r:id="rId2"/>
    <sheet name="User Interface test case" sheetId="7" r:id="rId3"/>
    <sheet name="Test Report" sheetId="5" r:id="rId4"/>
  </sheets>
  <externalReferences>
    <externalReference r:id="rId8"/>
  </externalReferences>
  <definedNames>
    <definedName name="_xlnm._FilterDatabase" localSheetId="2" hidden="1">'User Interface test case'!$A$8:$H$15</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E11" authorId="0">
      <text>
        <r>
          <rPr>
            <b/>
            <sz val="10"/>
            <color indexed="8"/>
            <rFont val="Times New Roman"/>
            <charset val="134"/>
          </rPr>
          <t>*A</t>
        </r>
        <r>
          <rPr>
            <sz val="10"/>
            <color indexed="8"/>
            <rFont val="Times New Roman"/>
            <charset val="134"/>
          </rPr>
          <t xml:space="preserve">: Add
  </t>
        </r>
        <r>
          <rPr>
            <b/>
            <sz val="10"/>
            <color indexed="8"/>
            <rFont val="Times New Roman"/>
            <charset val="134"/>
          </rPr>
          <t>M</t>
        </r>
        <r>
          <rPr>
            <sz val="10"/>
            <color indexed="8"/>
            <rFont val="Times New Roman"/>
            <charset val="134"/>
          </rPr>
          <t xml:space="preserve">: Modify
  </t>
        </r>
        <r>
          <rPr>
            <b/>
            <sz val="10"/>
            <color indexed="8"/>
            <rFont val="Times New Roman"/>
            <charset val="134"/>
          </rPr>
          <t>D</t>
        </r>
        <r>
          <rPr>
            <sz val="10"/>
            <color indexed="8"/>
            <rFont val="Times New Roman"/>
            <charset val="134"/>
          </rPr>
          <t xml:space="preserve">: Delete
</t>
        </r>
      </text>
    </comment>
  </commentList>
</comments>
</file>

<file path=xl/sharedStrings.xml><?xml version="1.0" encoding="utf-8"?>
<sst xmlns="http://schemas.openxmlformats.org/spreadsheetml/2006/main" count="127" uniqueCount="93">
  <si>
    <t>TEST CASE</t>
  </si>
  <si>
    <t>Project Name</t>
  </si>
  <si>
    <t>&lt;Project Name&gt;</t>
  </si>
  <si>
    <t>Creator</t>
  </si>
  <si>
    <t>Project Code</t>
  </si>
  <si>
    <t>&lt;Project Code&gt;</t>
  </si>
  <si>
    <t>Reviewer/Approver</t>
  </si>
  <si>
    <t>Document Code</t>
  </si>
  <si>
    <t>Issue Date</t>
  </si>
  <si>
    <t>Version</t>
  </si>
  <si>
    <t>Record of change</t>
  </si>
  <si>
    <t>Effective Date</t>
  </si>
  <si>
    <t>Change Item</t>
  </si>
  <si>
    <t>*A,D,M</t>
  </si>
  <si>
    <t>Change description</t>
  </si>
  <si>
    <t>Reference</t>
  </si>
  <si>
    <t>&lt;Date when these changes are effective&gt;</t>
  </si>
  <si>
    <t>&lt;List of documents which are referred in this version.&gt;</t>
  </si>
  <si>
    <t>TEST CASE LIST</t>
  </si>
  <si>
    <t>Test Environment Setup Description</t>
  </si>
  <si>
    <t>&lt;List enviroment requires in this system
1. Server
2. Database
3. Web Browser
...
&gt;</t>
  </si>
  <si>
    <t>No</t>
  </si>
  <si>
    <t>Function Name</t>
  </si>
  <si>
    <t>Sheet Name</t>
  </si>
  <si>
    <t>Description</t>
  </si>
  <si>
    <t>Pre-Condition</t>
  </si>
  <si>
    <t>Function A</t>
  </si>
  <si>
    <t>Module1</t>
  </si>
  <si>
    <t>Function B</t>
  </si>
  <si>
    <t>Function C</t>
  </si>
  <si>
    <t>Function D</t>
  </si>
  <si>
    <t>Module2</t>
  </si>
  <si>
    <t>Function E</t>
  </si>
  <si>
    <t>Module Code</t>
  </si>
  <si>
    <t>Module_User_Interface</t>
  </si>
  <si>
    <t>Pass</t>
  </si>
  <si>
    <t>Test requirement</t>
  </si>
  <si>
    <t>Kiểm tra giao diện người dùng</t>
  </si>
  <si>
    <t>Fail</t>
  </si>
  <si>
    <t>Tester</t>
  </si>
  <si>
    <t>Untested</t>
  </si>
  <si>
    <t>N/A</t>
  </si>
  <si>
    <t>Number of Test cases</t>
  </si>
  <si>
    <t>Untesed</t>
  </si>
  <si>
    <t>ID</t>
  </si>
  <si>
    <t>Test Case Description</t>
  </si>
  <si>
    <t>Test Case Procedure</t>
  </si>
  <si>
    <t>Expected Output</t>
  </si>
  <si>
    <t>Test data</t>
  </si>
  <si>
    <t>Result</t>
  </si>
  <si>
    <t>UI-001</t>
  </si>
  <si>
    <t>Verify Homepage Layout on Full HD Screen
(Kiểm tra bố cục trang chủ trên màn hình rộng 1920px)</t>
  </si>
  <si>
    <t>1. Mở trình duyệt Chrome trên màn hình 1920x1080.
2. Truy cập trang chủ.
3. Quan sát Banner khuyến mãi và lưới (grid) món ăn.</t>
  </si>
  <si>
    <t>1. Banner hiển thị sắc nét, full chiều rộng, không bị vỡ hạt.
2. Danh sách món ăn hiển thị 4 hoặc 5 cột (tùy thiết kế), khoảng cách đều nhau.
3. Không xuất hiện thanh cuộn ngang (Horizontal Scrollbar).</t>
  </si>
  <si>
    <t>Màn hình 1920x1080</t>
  </si>
  <si>
    <t>UI-002</t>
  </si>
  <si>
    <t>Verify Hover Effects on Buttons
(Kiểm tra hiệu ứng rê chuột trên các nút bấm)</t>
  </si>
  <si>
    <t>1. Di chuột (Hover) vào nút "Thêm vào giỏ" của một món ăn bất kỳ.
2. Di chuột vào các link trên thanh Menu (Trang chủ, Thực đơn...).</t>
  </si>
  <si>
    <t>1. Con trỏ chuột đổi từ hình mũi tên sang hình bàn tay (Pointer).
2. Nút đổi màu nền (đậm hơn hoặc sáng hơn) để báo hiệu đang được chọn.
3. Hiệu ứng chuyển màu mượt mà (transition).</t>
  </si>
  <si>
    <t>UI-003</t>
  </si>
  <si>
    <t>Verify Keyboard Navigation (Tab Order)
(Kiểm tra điều hướng bằng bàn phím trên form Đăng nhập)</t>
  </si>
  <si>
    <t>1. Vào trang Đăng nhập.
2. Click chuột vào ô Username.
3. Nhấn phím Tab trên bàn phím.
4. Nhấn phím Tab lần nữa.
5. Nhấn Enter.</t>
  </si>
  <si>
    <t>1. Sau khi nhấn Tab lần 1: Con trỏ nhảy sang ô Password.
2. Sau khi nhấn Tab lần 2: Con trỏ nhảy xuống nút "Đăng nhập" (nút sáng lên/có viền focus).
3. Nhấn Enter: Thực hiện submit form đăng nhập.</t>
  </si>
  <si>
    <t>UI-004</t>
  </si>
  <si>
    <t>Verify Window Resize Behavior
(Kiểm tra khi thay đổi kích thước cửa sổ trình duyệt)</t>
  </si>
  <si>
    <t>1. Đang mở full màn hình.
2. Bấm nút "Restore Down" (thu nhỏ cửa sổ) hoặc kéo cạnh trình duyệt hẹp lại (còn khoảng 1024px).</t>
  </si>
  <si>
    <t>1. Bố cục tự động co lại.
2. Lưới món ăn giảm từ 4 cột xuống 3 cột (Responsive).
3. Hình ảnh và chữ không bị chồng đè lên nhau.
4. Menu ngang vẫn hiển thị tốt (chưa bị chuyển thành Hamburger menu).</t>
  </si>
  <si>
    <t>Kích thước window ngẫu nhiên</t>
  </si>
  <si>
    <t>UI-005</t>
  </si>
  <si>
    <t>Verify "Sticky" Header/Cart
(Kiểm tra thanh điều hướng dính khi cuộn trang)</t>
  </si>
  <si>
    <t>1. Vào trang Thực đơn (có danh sách món dài).
2. Cuộn chuột xuống dưới cùng trang.
3. Quan sát thanh Menu và biểu tượng Giỏ hàng.</t>
  </si>
  <si>
    <t>1. Thanh Menu (Header) vẫn ghim cố định ở mép trên cùng màn hình (hoặc hiện nút "Back to Top").
2. Người dùng có thể bấm vào Giỏ hàng bất cứ lúc nào mà không cần cuộn ngược lên đầu trang.</t>
  </si>
  <si>
    <t>Trang Menu nhiều món</t>
  </si>
  <si>
    <t>UI-006</t>
  </si>
  <si>
    <t>Verify Empty Cart UI State
(Kiểm tra giao diện giỏ hàng khi trống)</t>
  </si>
  <si>
    <t>1. Xóa hết món trong giỏ hàng.
2. Truy cập vào trang Giỏ hàng.</t>
  </si>
  <si>
    <t>1. Không hiển thị bảng trắng trơn hoặc lỗi.
2. Hiển thị hình minh họa (icon giỏ hàng buồn/trống).
3. Có dòng chữ "Giỏ hàng của bạn đang trống".
4. Có nút "Quay lại thực đơn" để kêu gọi hành động.</t>
  </si>
  <si>
    <t>Giỏ hàng rỗng</t>
  </si>
  <si>
    <t>UI-007</t>
  </si>
  <si>
    <t>Verify Image Lazy Loading
(Kiểm tra tải ảnh khi cuộn trang)</t>
  </si>
  <si>
    <t>1. Vào trang danh sách món ăn.
2. Cuộn chuột thật nhanh xuống phía dưới.</t>
  </si>
  <si>
    <t>1. Các khung hình ảnh hiển thị Placeholder (màu xám hoặc spinner) trước.
2. Sau khoảng tích tắc, hình ảnh món ăn mới hiện ra.
3. Giúp trang web không bị giật lag khi load nhiều ảnh.</t>
  </si>
  <si>
    <t>Mạng Wifi bình thường</t>
  </si>
  <si>
    <t>TEST REPORT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</si>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</sst>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 numFmtId="179" formatCode="d\-mmm\-yy;@"/>
  </numFmts>
  <fonts count="51">
    <font>
      <sz val="11"/>
      <name val="ＭＳ Ｐゴシック"/>
      <charset val="128"/>
    </font>
    <font>
      <sz val="10"/>
      <name val="Tahoma"/>
      <charset val="128"/>
    </font>
    <font>
      <b/>
      <sz val="20"/>
      <color indexed="8"/>
      <name val="Tahoma"/>
      <charset val="128"/>
    </font>
    <font>
      <b/>
      <sz val="10"/>
      <name val="Tahoma"/>
      <charset val="128"/>
    </font>
    <font>
      <b/>
      <sz val="10"/>
      <color indexed="60"/>
      <name val="Tahoma"/>
      <charset val="128"/>
    </font>
    <font>
      <i/>
      <sz val="10"/>
      <color indexed="17"/>
      <name val="Tahoma"/>
      <charset val="128"/>
    </font>
    <font>
      <b/>
      <sz val="10"/>
      <color indexed="9"/>
      <name val="Tahoma"/>
      <charset val="128"/>
    </font>
    <font>
      <sz val="10"/>
      <color indexed="9"/>
      <name val="Tahoma"/>
      <charset val="128"/>
    </font>
    <font>
      <b/>
      <sz val="10"/>
      <color indexed="12"/>
      <name val="Tahoma"/>
      <charset val="128"/>
    </font>
    <font>
      <sz val="10"/>
      <color indexed="8"/>
      <name val="Tahoma"/>
      <charset val="128"/>
    </font>
    <font>
      <sz val="10"/>
      <color indexed="8"/>
      <name val="Tahoma"/>
      <family val="2"/>
      <charset val="0"/>
    </font>
    <font>
      <sz val="10"/>
      <name val="Tahoma"/>
      <family val="2"/>
      <charset val="0"/>
    </font>
    <font>
      <sz val="10"/>
      <color indexed="10"/>
      <name val="Tahoma"/>
      <family val="2"/>
      <charset val="0"/>
    </font>
    <font>
      <b/>
      <sz val="10"/>
      <name val="Tahoma"/>
      <family val="2"/>
      <charset val="0"/>
    </font>
    <font>
      <i/>
      <sz val="10"/>
      <color indexed="17"/>
      <name val="Tahoma"/>
      <family val="2"/>
      <charset val="0"/>
    </font>
    <font>
      <b/>
      <sz val="10"/>
      <color indexed="8"/>
      <name val="Tahoma"/>
      <family val="2"/>
      <charset val="0"/>
    </font>
    <font>
      <b/>
      <sz val="10"/>
      <color indexed="9"/>
      <name val="Tahoma"/>
      <family val="2"/>
      <charset val="0"/>
    </font>
    <font>
      <sz val="11"/>
      <color rgb="FF1F1F1F"/>
      <name val="Arial"/>
      <family val="3"/>
      <charset val="128"/>
    </font>
    <font>
      <sz val="10"/>
      <name val="Arial"/>
      <family val="2"/>
      <charset val="0"/>
    </font>
    <font>
      <b/>
      <sz val="11"/>
      <color rgb="FF1F1F1F"/>
      <name val="Arial"/>
      <family val="3"/>
      <charset val="128"/>
    </font>
    <font>
      <sz val="11"/>
      <color rgb="FF444746"/>
      <name val="Arial"/>
      <family val="3"/>
      <charset val="128"/>
    </font>
    <font>
      <sz val="11"/>
      <name val="ＭＳ Ｐゴシック"/>
      <family val="3"/>
      <charset val="128"/>
    </font>
    <font>
      <b/>
      <sz val="10"/>
      <color indexed="10"/>
      <name val="Tahoma"/>
      <family val="2"/>
      <charset val="0"/>
    </font>
    <font>
      <b/>
      <sz val="10"/>
      <color indexed="8"/>
      <name val="Tahoma"/>
      <charset val="128"/>
    </font>
    <font>
      <b/>
      <sz val="10"/>
      <color indexed="10"/>
      <name val="Tahoma"/>
      <charset val="128"/>
    </font>
    <font>
      <u/>
      <sz val="10"/>
      <color indexed="12"/>
      <name val="Tahoma"/>
      <charset val="128"/>
    </font>
    <font>
      <b/>
      <sz val="22"/>
      <color indexed="10"/>
      <name val="Tahoma"/>
      <charset val="128"/>
    </font>
    <font>
      <b/>
      <sz val="26"/>
      <color indexed="10"/>
      <name val="Tahoma"/>
      <charset val="128"/>
    </font>
    <font>
      <sz val="11"/>
      <color theme="1"/>
      <name val="Aptos Narrow"/>
      <charset val="134"/>
      <scheme val="minor"/>
    </font>
    <font>
      <u/>
      <sz val="11"/>
      <color indexed="12"/>
      <name val="ＭＳ Ｐゴシック"/>
      <charset val="128"/>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9"/>
      <name val="ＭＳ ゴシック"/>
      <charset val="128"/>
    </font>
    <font>
      <b/>
      <sz val="10"/>
      <color indexed="8"/>
      <name val="Times New Roman"/>
      <charset val="134"/>
    </font>
    <font>
      <sz val="10"/>
      <color indexed="8"/>
      <name val="Times New Roman"/>
      <charset val="134"/>
    </font>
  </fonts>
  <fills count="39">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theme="0"/>
        <bgColor indexed="26"/>
      </patternFill>
    </fill>
    <fill>
      <patternFill patternType="solid">
        <fgColor theme="0"/>
        <bgColor indexed="41"/>
      </patternFill>
    </fill>
    <fill>
      <patternFill patternType="solid">
        <fgColor theme="0"/>
        <bgColor indexed="64"/>
      </patternFill>
    </fill>
    <fill>
      <patternFill patternType="solid">
        <fgColor indexed="62"/>
        <bgColor indexed="5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right/>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bottom style="thin">
        <color indexed="8"/>
      </bottom>
      <diagonal/>
    </border>
    <border>
      <left style="thin">
        <color indexed="8"/>
      </left>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indexed="8"/>
      </top>
      <bottom style="thin">
        <color auto="1"/>
      </bottom>
      <diagonal/>
    </border>
    <border>
      <left style="thin">
        <color auto="1"/>
      </left>
      <right style="thin">
        <color auto="1"/>
      </right>
      <top style="thin">
        <color indexed="8"/>
      </top>
      <bottom style="thin">
        <color auto="1"/>
      </bottom>
      <diagonal/>
    </border>
    <border>
      <left style="thin">
        <color auto="1"/>
      </left>
      <right style="thin">
        <color indexed="0"/>
      </right>
      <top style="thin">
        <color indexed="8"/>
      </top>
      <bottom style="thin">
        <color auto="1"/>
      </bottom>
      <diagonal/>
    </border>
    <border>
      <left style="thin">
        <color auto="1"/>
      </left>
      <right style="thin">
        <color auto="1"/>
      </right>
      <top style="thin">
        <color auto="1"/>
      </top>
      <bottom style="thin">
        <color indexed="8"/>
      </bottom>
      <diagonal/>
    </border>
    <border>
      <left/>
      <right style="thin">
        <color auto="1"/>
      </right>
      <top style="thin">
        <color auto="1"/>
      </top>
      <bottom style="thin">
        <color indexed="8"/>
      </bottom>
      <diagonal/>
    </border>
    <border>
      <left style="thin">
        <color auto="1"/>
      </left>
      <right style="thin">
        <color indexed="0"/>
      </right>
      <top style="thin">
        <color auto="1"/>
      </top>
      <bottom style="thin">
        <color indexed="8"/>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bottom/>
      <diagonal/>
    </border>
    <border>
      <left style="thin">
        <color theme="0"/>
      </left>
      <right style="thin">
        <color theme="0"/>
      </right>
      <top/>
      <bottom/>
      <diagonal/>
    </border>
    <border>
      <left/>
      <right style="thin">
        <color theme="0"/>
      </right>
      <top/>
      <bottom style="thin">
        <color theme="0"/>
      </bottom>
      <diagonal/>
    </border>
    <border>
      <left style="thin">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28" fillId="0" borderId="0" applyFont="0" applyFill="0" applyBorder="0" applyAlignment="0" applyProtection="0">
      <alignment vertical="center"/>
    </xf>
    <xf numFmtId="177" fontId="28" fillId="0" borderId="0" applyFont="0" applyFill="0" applyBorder="0" applyAlignment="0" applyProtection="0">
      <alignment vertical="center"/>
    </xf>
    <xf numFmtId="9" fontId="28" fillId="0" borderId="0" applyFont="0" applyFill="0" applyBorder="0" applyAlignment="0" applyProtection="0">
      <alignment vertical="center"/>
    </xf>
    <xf numFmtId="43" fontId="28" fillId="0" borderId="0" applyFont="0" applyFill="0" applyBorder="0" applyAlignment="0" applyProtection="0">
      <alignment vertical="center"/>
    </xf>
    <xf numFmtId="178" fontId="28" fillId="0" borderId="0" applyFont="0" applyFill="0" applyBorder="0" applyAlignment="0" applyProtection="0">
      <alignment vertical="center"/>
    </xf>
    <xf numFmtId="0" fontId="29" fillId="0" borderId="0" applyNumberFormat="0" applyFill="0" applyBorder="0" applyAlignment="0" applyProtection="0"/>
    <xf numFmtId="0" fontId="30" fillId="0" borderId="0" applyNumberFormat="0" applyFill="0" applyBorder="0" applyAlignment="0" applyProtection="0">
      <alignment vertical="center"/>
    </xf>
    <xf numFmtId="0" fontId="28" fillId="8" borderId="47"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8" applyNumberFormat="0" applyFill="0" applyAlignment="0" applyProtection="0">
      <alignment vertical="center"/>
    </xf>
    <xf numFmtId="0" fontId="35" fillId="0" borderId="48" applyNumberFormat="0" applyFill="0" applyAlignment="0" applyProtection="0">
      <alignment vertical="center"/>
    </xf>
    <xf numFmtId="0" fontId="36" fillId="0" borderId="49" applyNumberFormat="0" applyFill="0" applyAlignment="0" applyProtection="0">
      <alignment vertical="center"/>
    </xf>
    <xf numFmtId="0" fontId="36" fillId="0" borderId="0" applyNumberFormat="0" applyFill="0" applyBorder="0" applyAlignment="0" applyProtection="0">
      <alignment vertical="center"/>
    </xf>
    <xf numFmtId="0" fontId="37" fillId="9" borderId="50" applyNumberFormat="0" applyAlignment="0" applyProtection="0">
      <alignment vertical="center"/>
    </xf>
    <xf numFmtId="0" fontId="38" fillId="10" borderId="51" applyNumberFormat="0" applyAlignment="0" applyProtection="0">
      <alignment vertical="center"/>
    </xf>
    <xf numFmtId="0" fontId="39" fillId="10" borderId="50" applyNumberFormat="0" applyAlignment="0" applyProtection="0">
      <alignment vertical="center"/>
    </xf>
    <xf numFmtId="0" fontId="40" fillId="11" borderId="52" applyNumberFormat="0" applyAlignment="0" applyProtection="0">
      <alignment vertical="center"/>
    </xf>
    <xf numFmtId="0" fontId="41" fillId="0" borderId="53" applyNumberFormat="0" applyFill="0" applyAlignment="0" applyProtection="0">
      <alignment vertical="center"/>
    </xf>
    <xf numFmtId="0" fontId="42" fillId="0" borderId="54" applyNumberFormat="0" applyFill="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6" fillId="38" borderId="0" applyNumberFormat="0" applyBorder="0" applyAlignment="0" applyProtection="0">
      <alignment vertical="center"/>
    </xf>
    <xf numFmtId="0" fontId="0" fillId="0" borderId="0"/>
    <xf numFmtId="0" fontId="0" fillId="0" borderId="0"/>
    <xf numFmtId="0" fontId="48" fillId="0" borderId="0"/>
  </cellStyleXfs>
  <cellXfs count="207">
    <xf numFmtId="0" fontId="0" fillId="0" borderId="0" xfId="0"/>
    <xf numFmtId="0" fontId="1" fillId="2" borderId="0" xfId="0" applyFont="1" applyFill="1"/>
    <xf numFmtId="0" fontId="2" fillId="2" borderId="0" xfId="49" applyFont="1" applyFill="1" applyBorder="1" applyAlignment="1">
      <alignment horizontal="center"/>
    </xf>
    <xf numFmtId="0" fontId="3" fillId="2" borderId="0" xfId="49" applyFont="1" applyFill="1" applyBorder="1"/>
    <xf numFmtId="0" fontId="1" fillId="2" borderId="0" xfId="49" applyFont="1" applyFill="1" applyBorder="1"/>
    <xf numFmtId="179" fontId="1" fillId="2" borderId="0" xfId="49" applyNumberFormat="1" applyFont="1" applyFill="1" applyBorder="1"/>
    <xf numFmtId="0" fontId="4" fillId="2" borderId="1" xfId="0" applyFont="1" applyFill="1" applyBorder="1" applyAlignment="1">
      <alignment horizontal="left" vertical="center"/>
    </xf>
    <xf numFmtId="0" fontId="5" fillId="2" borderId="1"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0" fontId="5" fillId="2" borderId="2" xfId="0" applyFont="1" applyFill="1" applyBorder="1" applyAlignment="1">
      <alignment vertical="top"/>
    </xf>
    <xf numFmtId="0" fontId="5" fillId="2" borderId="1" xfId="49" applyFont="1" applyFill="1" applyBorder="1" applyAlignment="1">
      <alignment vertical="top"/>
    </xf>
    <xf numFmtId="0" fontId="4" fillId="2" borderId="0" xfId="0" applyFont="1" applyFill="1"/>
    <xf numFmtId="0" fontId="5" fillId="2" borderId="0" xfId="49" applyFont="1" applyFill="1" applyBorder="1"/>
    <xf numFmtId="0" fontId="1" fillId="2" borderId="0" xfId="0" applyFont="1" applyFill="1" applyBorder="1"/>
    <xf numFmtId="0" fontId="1" fillId="2" borderId="3" xfId="0" applyFont="1" applyFill="1" applyBorder="1" applyAlignment="1"/>
    <xf numFmtId="0" fontId="6" fillId="3" borderId="4" xfId="0" applyNumberFormat="1" applyFont="1" applyFill="1" applyBorder="1" applyAlignment="1">
      <alignment horizontal="center"/>
    </xf>
    <xf numFmtId="0" fontId="6" fillId="3" borderId="5" xfId="0" applyNumberFormat="1" applyFont="1" applyFill="1" applyBorder="1" applyAlignment="1">
      <alignment horizontal="center"/>
    </xf>
    <xf numFmtId="0" fontId="6" fillId="3" borderId="5" xfId="0" applyNumberFormat="1" applyFont="1" applyFill="1" applyBorder="1" applyAlignment="1">
      <alignment horizontal="center" wrapText="1"/>
    </xf>
    <xf numFmtId="0" fontId="6" fillId="3" borderId="6" xfId="0" applyNumberFormat="1" applyFont="1" applyFill="1" applyBorder="1" applyAlignment="1">
      <alignment horizontal="center"/>
    </xf>
    <xf numFmtId="0" fontId="6" fillId="3" borderId="7" xfId="0" applyNumberFormat="1" applyFont="1" applyFill="1" applyBorder="1" applyAlignment="1">
      <alignment horizontal="center" wrapText="1"/>
    </xf>
    <xf numFmtId="0" fontId="1" fillId="2" borderId="3" xfId="0" applyFont="1" applyFill="1" applyBorder="1"/>
    <xf numFmtId="0" fontId="1" fillId="2" borderId="8" xfId="0" applyNumberFormat="1" applyFont="1" applyFill="1" applyBorder="1" applyAlignment="1">
      <alignment horizontal="center"/>
    </xf>
    <xf numFmtId="0" fontId="1" fillId="2" borderId="9" xfId="0" applyNumberFormat="1" applyFont="1" applyFill="1" applyBorder="1"/>
    <xf numFmtId="0" fontId="1" fillId="2" borderId="9" xfId="0" applyNumberFormat="1" applyFont="1" applyFill="1" applyBorder="1" applyAlignment="1">
      <alignment horizontal="center"/>
    </xf>
    <xf numFmtId="0" fontId="1" fillId="2" borderId="10" xfId="0" applyNumberFormat="1" applyFont="1" applyFill="1" applyBorder="1" applyAlignment="1">
      <alignment horizontal="center"/>
    </xf>
    <xf numFmtId="0" fontId="1" fillId="2" borderId="11" xfId="0" applyNumberFormat="1" applyFont="1" applyFill="1" applyBorder="1" applyAlignment="1">
      <alignment horizontal="center"/>
    </xf>
    <xf numFmtId="0" fontId="7" fillId="3" borderId="12" xfId="0" applyNumberFormat="1" applyFont="1" applyFill="1" applyBorder="1" applyAlignment="1">
      <alignment horizontal="center"/>
    </xf>
    <xf numFmtId="0" fontId="6" fillId="3" borderId="13" xfId="0" applyFont="1" applyFill="1" applyBorder="1"/>
    <xf numFmtId="0" fontId="7" fillId="3" borderId="13" xfId="0" applyNumberFormat="1" applyFont="1" applyFill="1" applyBorder="1" applyAlignment="1">
      <alignment horizontal="center"/>
    </xf>
    <xf numFmtId="0" fontId="7" fillId="3" borderId="13" xfId="0" applyFont="1" applyFill="1" applyBorder="1" applyAlignment="1">
      <alignment horizontal="center"/>
    </xf>
    <xf numFmtId="0" fontId="7" fillId="3" borderId="14" xfId="0" applyFont="1" applyFill="1" applyBorder="1" applyAlignment="1">
      <alignment horizontal="center"/>
    </xf>
    <xf numFmtId="0" fontId="1" fillId="2" borderId="0" xfId="0" applyFont="1" applyFill="1" applyBorder="1" applyAlignment="1">
      <alignment horizontal="center"/>
    </xf>
    <xf numFmtId="10" fontId="1" fillId="2" borderId="0" xfId="0" applyNumberFormat="1" applyFont="1" applyFill="1" applyBorder="1" applyAlignment="1">
      <alignment horizontal="center"/>
    </xf>
    <xf numFmtId="9" fontId="1" fillId="2" borderId="0" xfId="0" applyNumberFormat="1" applyFont="1" applyFill="1" applyBorder="1" applyAlignment="1">
      <alignment horizontal="center"/>
    </xf>
    <xf numFmtId="0" fontId="4" fillId="2" borderId="0" xfId="0" applyFont="1" applyFill="1" applyBorder="1" applyAlignment="1">
      <alignment horizontal="left"/>
    </xf>
    <xf numFmtId="2" fontId="8" fillId="2" borderId="0" xfId="0" applyNumberFormat="1" applyFont="1" applyFill="1" applyBorder="1" applyAlignment="1">
      <alignment horizontal="right" wrapText="1"/>
    </xf>
    <xf numFmtId="0" fontId="9" fillId="2" borderId="0" xfId="0" applyFont="1" applyFill="1" applyBorder="1" applyAlignment="1">
      <alignment horizontal="center" wrapText="1"/>
    </xf>
    <xf numFmtId="0" fontId="10" fillId="2" borderId="0" xfId="0" applyFont="1" applyFill="1" applyBorder="1" applyAlignment="1"/>
    <xf numFmtId="0" fontId="10" fillId="2" borderId="0" xfId="0" applyFont="1" applyFill="1" applyBorder="1" applyAlignment="1">
      <alignment vertical="top"/>
    </xf>
    <xf numFmtId="0" fontId="11" fillId="2" borderId="0" xfId="0" applyFont="1" applyFill="1" applyBorder="1" applyAlignment="1"/>
    <xf numFmtId="0" fontId="12" fillId="2" borderId="0" xfId="0" applyFont="1" applyFill="1" applyBorder="1" applyAlignment="1"/>
    <xf numFmtId="0" fontId="10" fillId="2" borderId="15" xfId="0" applyFont="1" applyFill="1" applyBorder="1" applyAlignment="1"/>
    <xf numFmtId="0" fontId="10" fillId="2" borderId="15" xfId="0" applyFont="1" applyFill="1" applyBorder="1" applyAlignment="1">
      <alignment wrapText="1"/>
    </xf>
    <xf numFmtId="0" fontId="11" fillId="2" borderId="15" xfId="0" applyFont="1" applyFill="1" applyBorder="1" applyAlignment="1">
      <alignment wrapText="1"/>
    </xf>
    <xf numFmtId="0" fontId="13" fillId="2" borderId="0" xfId="0" applyFont="1" applyFill="1" applyBorder="1" applyAlignment="1" applyProtection="1">
      <alignment wrapText="1"/>
    </xf>
    <xf numFmtId="0" fontId="11" fillId="2" borderId="0" xfId="0" applyFont="1" applyFill="1" applyBorder="1" applyAlignment="1">
      <alignment wrapText="1"/>
    </xf>
    <xf numFmtId="0" fontId="13" fillId="2" borderId="16" xfId="50" applyFont="1" applyFill="1" applyBorder="1" applyAlignment="1">
      <alignment horizontal="left" wrapText="1"/>
    </xf>
    <xf numFmtId="0" fontId="14" fillId="2" borderId="17" xfId="50" applyFont="1" applyFill="1" applyBorder="1" applyAlignment="1">
      <alignment horizontal="left" wrapText="1"/>
    </xf>
    <xf numFmtId="0" fontId="11" fillId="2" borderId="0" xfId="0" applyFont="1" applyFill="1" applyBorder="1" applyAlignment="1" applyProtection="1">
      <alignment wrapText="1"/>
    </xf>
    <xf numFmtId="0" fontId="13" fillId="2" borderId="18" xfId="50" applyFont="1" applyFill="1" applyBorder="1" applyAlignment="1">
      <alignment horizontal="left" wrapText="1"/>
    </xf>
    <xf numFmtId="0" fontId="14" fillId="2" borderId="19" xfId="50" applyFont="1" applyFill="1" applyBorder="1" applyAlignment="1">
      <alignment horizontal="left" wrapText="1"/>
    </xf>
    <xf numFmtId="0" fontId="15" fillId="2" borderId="18" xfId="0" applyFont="1" applyFill="1" applyBorder="1" applyAlignment="1">
      <alignment horizontal="center" vertical="center"/>
    </xf>
    <xf numFmtId="0" fontId="15" fillId="2" borderId="1" xfId="0" applyFont="1" applyFill="1" applyBorder="1" applyAlignment="1">
      <alignment horizontal="center" vertical="center" wrapText="1"/>
    </xf>
    <xf numFmtId="0" fontId="15" fillId="2" borderId="20" xfId="0" applyFont="1" applyFill="1" applyBorder="1" applyAlignment="1">
      <alignment horizontal="center" vertical="center" wrapText="1"/>
    </xf>
    <xf numFmtId="0" fontId="15" fillId="2" borderId="17" xfId="0" applyFont="1" applyFill="1" applyBorder="1" applyAlignment="1">
      <alignment horizontal="center" vertical="center" wrapText="1"/>
    </xf>
    <xf numFmtId="0" fontId="11" fillId="2" borderId="0" xfId="0" applyFont="1" applyFill="1" applyBorder="1" applyAlignment="1">
      <alignment horizontal="center" wrapText="1"/>
    </xf>
    <xf numFmtId="0" fontId="10" fillId="2" borderId="21" xfId="0" applyFont="1" applyFill="1" applyBorder="1" applyAlignment="1">
      <alignment horizontal="center" vertical="center"/>
    </xf>
    <xf numFmtId="0" fontId="10" fillId="2" borderId="22" xfId="0" applyFont="1" applyFill="1" applyBorder="1" applyAlignment="1">
      <alignment horizontal="center" vertical="center"/>
    </xf>
    <xf numFmtId="0" fontId="10" fillId="2" borderId="23" xfId="0" applyFont="1" applyFill="1" applyBorder="1" applyAlignment="1">
      <alignment horizontal="center" vertical="center"/>
    </xf>
    <xf numFmtId="0" fontId="10" fillId="2" borderId="24" xfId="0" applyFont="1" applyFill="1" applyBorder="1" applyAlignment="1">
      <alignment horizontal="center" vertical="center" wrapText="1"/>
    </xf>
    <xf numFmtId="0" fontId="10" fillId="2" borderId="0" xfId="0" applyFont="1" applyFill="1" applyBorder="1" applyAlignment="1">
      <alignment horizontal="center" wrapText="1"/>
    </xf>
    <xf numFmtId="0" fontId="16" fillId="3" borderId="25" xfId="50" applyFont="1" applyFill="1" applyBorder="1" applyAlignment="1">
      <alignment horizontal="center" vertical="center" wrapText="1"/>
    </xf>
    <xf numFmtId="0" fontId="16" fillId="3" borderId="25" xfId="50" applyFont="1" applyFill="1" applyBorder="1" applyAlignment="1">
      <alignment horizontal="center" vertical="center" wrapText="1"/>
    </xf>
    <xf numFmtId="0" fontId="16" fillId="3" borderId="1" xfId="50" applyFont="1" applyFill="1" applyBorder="1" applyAlignment="1">
      <alignment horizontal="center" vertical="center" wrapText="1"/>
    </xf>
    <xf numFmtId="0" fontId="17" fillId="0" borderId="26" xfId="0" applyFont="1" applyFill="1" applyBorder="1" applyAlignment="1">
      <alignment horizontal="left" vertical="center" wrapText="1" readingOrder="1"/>
    </xf>
    <xf numFmtId="0" fontId="18" fillId="2" borderId="2" xfId="50" applyFont="1" applyFill="1" applyBorder="1" applyAlignment="1">
      <alignment horizontal="left" vertical="center" wrapText="1"/>
    </xf>
    <xf numFmtId="0" fontId="18" fillId="2" borderId="1" xfId="0" applyFont="1" applyFill="1" applyBorder="1" applyAlignment="1">
      <alignment horizontal="left" vertical="center" wrapText="1"/>
    </xf>
    <xf numFmtId="0" fontId="18" fillId="2" borderId="1" xfId="0" applyFont="1" applyFill="1" applyBorder="1" applyAlignment="1">
      <alignment vertical="center" wrapText="1"/>
    </xf>
    <xf numFmtId="0" fontId="11" fillId="2" borderId="2" xfId="50" applyFont="1" applyFill="1" applyBorder="1" applyAlignment="1">
      <alignment horizontal="left" vertical="center" wrapText="1"/>
    </xf>
    <xf numFmtId="0" fontId="11" fillId="2" borderId="1" xfId="50" applyFont="1" applyFill="1" applyBorder="1" applyAlignment="1">
      <alignment vertical="top" wrapText="1"/>
    </xf>
    <xf numFmtId="0" fontId="11" fillId="2" borderId="1" xfId="0" applyFont="1" applyFill="1" applyBorder="1" applyAlignment="1">
      <alignment vertical="top" wrapText="1"/>
    </xf>
    <xf numFmtId="0" fontId="11" fillId="4" borderId="27" xfId="50" applyFont="1" applyFill="1" applyBorder="1" applyAlignment="1">
      <alignment horizontal="left" vertical="center" wrapText="1"/>
    </xf>
    <xf numFmtId="0" fontId="11" fillId="4" borderId="28" xfId="0" applyFont="1" applyFill="1" applyBorder="1" applyAlignment="1"/>
    <xf numFmtId="0" fontId="11" fillId="4" borderId="29" xfId="0" applyFont="1" applyFill="1" applyBorder="1" applyAlignment="1"/>
    <xf numFmtId="0" fontId="17" fillId="0" borderId="30" xfId="0" applyFont="1" applyFill="1" applyBorder="1" applyAlignment="1">
      <alignment horizontal="left" vertical="center" wrapText="1" readingOrder="1"/>
    </xf>
    <xf numFmtId="0" fontId="11" fillId="5" borderId="31" xfId="50" applyFont="1" applyFill="1" applyBorder="1" applyAlignment="1">
      <alignment horizontal="left" vertical="center"/>
    </xf>
    <xf numFmtId="0" fontId="13" fillId="5" borderId="30" xfId="50" applyFont="1" applyFill="1" applyBorder="1" applyAlignment="1">
      <alignment horizontal="left" vertical="center"/>
    </xf>
    <xf numFmtId="0" fontId="13" fillId="5" borderId="32" xfId="50" applyFont="1" applyFill="1" applyBorder="1" applyAlignment="1">
      <alignment horizontal="left" vertical="center"/>
    </xf>
    <xf numFmtId="0" fontId="11" fillId="4" borderId="0" xfId="50" applyFont="1" applyFill="1" applyBorder="1" applyAlignment="1">
      <alignment vertical="top" wrapText="1"/>
    </xf>
    <xf numFmtId="0" fontId="11" fillId="4" borderId="0" xfId="0" applyFont="1" applyFill="1" applyBorder="1" applyAlignment="1">
      <alignment vertical="top" wrapText="1"/>
    </xf>
    <xf numFmtId="0" fontId="11" fillId="2" borderId="33" xfId="0" applyFont="1" applyFill="1" applyBorder="1" applyAlignment="1"/>
    <xf numFmtId="0" fontId="11" fillId="2" borderId="34" xfId="0" applyFont="1" applyFill="1" applyBorder="1" applyAlignment="1"/>
    <xf numFmtId="0" fontId="11" fillId="2" borderId="0" xfId="0" applyFont="1" applyFill="1" applyBorder="1" applyAlignment="1"/>
    <xf numFmtId="0" fontId="11" fillId="2" borderId="0" xfId="0" applyFont="1" applyFill="1" applyBorder="1" applyAlignment="1"/>
    <xf numFmtId="0" fontId="11" fillId="2" borderId="0" xfId="0" applyFont="1" applyFill="1" applyBorder="1" applyAlignment="1"/>
    <xf numFmtId="0" fontId="11" fillId="2" borderId="0" xfId="0" applyFont="1" applyFill="1" applyBorder="1" applyAlignment="1"/>
    <xf numFmtId="0" fontId="11" fillId="2" borderId="35" xfId="0" applyFont="1" applyFill="1" applyBorder="1" applyAlignment="1"/>
    <xf numFmtId="0" fontId="11" fillId="6" borderId="36" xfId="0" applyFont="1" applyFill="1" applyBorder="1" applyAlignment="1"/>
    <xf numFmtId="0" fontId="11" fillId="6" borderId="37" xfId="0" applyFont="1" applyFill="1" applyBorder="1" applyAlignment="1"/>
    <xf numFmtId="0" fontId="11" fillId="6" borderId="0" xfId="0" applyFont="1" applyFill="1" applyBorder="1" applyAlignment="1"/>
    <xf numFmtId="0" fontId="11" fillId="6" borderId="0" xfId="0" applyFont="1" applyFill="1" applyBorder="1" applyAlignment="1"/>
    <xf numFmtId="0" fontId="11" fillId="6" borderId="0" xfId="0" applyFont="1" applyFill="1" applyBorder="1" applyAlignment="1"/>
    <xf numFmtId="0" fontId="11" fillId="6" borderId="0" xfId="0" applyFont="1" applyFill="1" applyBorder="1" applyAlignment="1"/>
    <xf numFmtId="0" fontId="11" fillId="2" borderId="38" xfId="0" applyFont="1" applyFill="1" applyBorder="1" applyAlignment="1"/>
    <xf numFmtId="0" fontId="19" fillId="6" borderId="39" xfId="0" applyFont="1" applyFill="1" applyBorder="1" applyAlignment="1">
      <alignment wrapText="1" readingOrder="1"/>
    </xf>
    <xf numFmtId="0" fontId="19" fillId="6" borderId="34" xfId="0" applyFont="1" applyFill="1" applyBorder="1" applyAlignment="1">
      <alignment wrapText="1" readingOrder="1"/>
    </xf>
    <xf numFmtId="0" fontId="19" fillId="6" borderId="0" xfId="0" applyFont="1" applyFill="1" applyBorder="1" applyAlignment="1">
      <alignment wrapText="1" readingOrder="1"/>
    </xf>
    <xf numFmtId="0" fontId="11" fillId="6" borderId="0" xfId="0" applyFont="1" applyFill="1" applyBorder="1" applyAlignment="1"/>
    <xf numFmtId="0" fontId="19" fillId="6" borderId="0" xfId="0" applyFont="1" applyFill="1" applyBorder="1" applyAlignment="1">
      <alignment wrapText="1" readingOrder="1"/>
    </xf>
    <xf numFmtId="0" fontId="11" fillId="6" borderId="0" xfId="0" applyFont="1" applyFill="1" applyBorder="1" applyAlignment="1"/>
    <xf numFmtId="0" fontId="19" fillId="6" borderId="0" xfId="0" applyFont="1" applyFill="1" applyBorder="1" applyAlignment="1">
      <alignment wrapText="1" readingOrder="1"/>
    </xf>
    <xf numFmtId="0" fontId="17" fillId="6" borderId="0" xfId="0" applyFont="1" applyFill="1" applyBorder="1" applyAlignment="1">
      <alignment wrapText="1" readingOrder="1"/>
    </xf>
    <xf numFmtId="0" fontId="20" fillId="6" borderId="0" xfId="0" applyFont="1" applyFill="1" applyBorder="1" applyAlignment="1">
      <alignment wrapText="1" readingOrder="1"/>
    </xf>
    <xf numFmtId="0" fontId="11" fillId="2" borderId="0" xfId="0" applyFont="1" applyFill="1" applyBorder="1" applyAlignment="1"/>
    <xf numFmtId="0" fontId="21" fillId="6" borderId="0" xfId="0" applyFont="1" applyFill="1" applyBorder="1" applyAlignment="1"/>
    <xf numFmtId="0" fontId="19" fillId="6" borderId="0" xfId="0" applyFont="1" applyFill="1" applyBorder="1" applyAlignment="1">
      <alignment wrapText="1" readingOrder="1"/>
    </xf>
    <xf numFmtId="0" fontId="19" fillId="6" borderId="0" xfId="0" applyFont="1" applyFill="1" applyBorder="1" applyAlignment="1">
      <alignment wrapText="1" readingOrder="1"/>
    </xf>
    <xf numFmtId="0" fontId="17" fillId="6" borderId="0" xfId="0" applyFont="1" applyFill="1" applyBorder="1" applyAlignment="1">
      <alignment wrapText="1" readingOrder="1"/>
    </xf>
    <xf numFmtId="0" fontId="21" fillId="6" borderId="0" xfId="0" applyFont="1" applyFill="1" applyBorder="1" applyAlignment="1"/>
    <xf numFmtId="0" fontId="11" fillId="6" borderId="0" xfId="0" applyFont="1" applyFill="1" applyBorder="1" applyAlignment="1"/>
    <xf numFmtId="0" fontId="11" fillId="6" borderId="0" xfId="0" applyFont="1" applyFill="1" applyBorder="1" applyAlignment="1"/>
    <xf numFmtId="0" fontId="11" fillId="2" borderId="0" xfId="0" applyFont="1" applyFill="1" applyBorder="1" applyAlignment="1"/>
    <xf numFmtId="0" fontId="19" fillId="6" borderId="0" xfId="0" applyFont="1" applyFill="1" applyBorder="1" applyAlignment="1">
      <alignment wrapText="1" readingOrder="1"/>
    </xf>
    <xf numFmtId="0" fontId="19" fillId="6" borderId="0" xfId="0" applyFont="1" applyFill="1" applyBorder="1" applyAlignment="1">
      <alignment wrapText="1" readingOrder="1"/>
    </xf>
    <xf numFmtId="0" fontId="17" fillId="6" borderId="0" xfId="0" applyFont="1" applyFill="1" applyBorder="1" applyAlignment="1">
      <alignment wrapText="1" readingOrder="1"/>
    </xf>
    <xf numFmtId="0" fontId="11" fillId="6" borderId="0" xfId="0" applyFont="1" applyFill="1" applyBorder="1" applyAlignment="1"/>
    <xf numFmtId="0" fontId="11" fillId="2" borderId="40" xfId="0" applyFont="1" applyFill="1" applyBorder="1" applyAlignment="1"/>
    <xf numFmtId="0" fontId="11" fillId="6" borderId="0" xfId="0" applyFont="1" applyFill="1" applyBorder="1" applyAlignment="1"/>
    <xf numFmtId="0" fontId="11" fillId="2" borderId="0" xfId="0" applyFont="1" applyFill="1" applyBorder="1" applyAlignment="1"/>
    <xf numFmtId="0" fontId="12" fillId="2" borderId="0" xfId="0" applyFont="1" applyFill="1" applyBorder="1" applyAlignment="1">
      <alignment wrapText="1"/>
    </xf>
    <xf numFmtId="0" fontId="15" fillId="2" borderId="0" xfId="0" applyFont="1" applyFill="1" applyBorder="1" applyAlignment="1"/>
    <xf numFmtId="0" fontId="12" fillId="2" borderId="0" xfId="0" applyFont="1" applyFill="1" applyBorder="1" applyAlignment="1">
      <alignment horizontal="center" wrapText="1"/>
    </xf>
    <xf numFmtId="0" fontId="22" fillId="2" borderId="0" xfId="50" applyFont="1" applyFill="1" applyBorder="1" applyAlignment="1">
      <alignment horizontal="center" vertical="center" wrapText="1"/>
    </xf>
    <xf numFmtId="0" fontId="12" fillId="2" borderId="0" xfId="0" applyFont="1" applyFill="1" applyBorder="1" applyAlignment="1">
      <alignment vertical="top" wrapText="1"/>
    </xf>
    <xf numFmtId="0" fontId="19" fillId="6" borderId="0" xfId="0" applyFont="1" applyFill="1" applyBorder="1" applyAlignment="1">
      <alignment wrapText="1" readingOrder="1"/>
    </xf>
    <xf numFmtId="0" fontId="10" fillId="4" borderId="0" xfId="0" applyFont="1" applyFill="1" applyBorder="1" applyAlignment="1">
      <alignment vertical="top"/>
    </xf>
    <xf numFmtId="0" fontId="10" fillId="4" borderId="0" xfId="0" applyFont="1" applyFill="1" applyBorder="1" applyAlignment="1">
      <alignment vertical="top"/>
    </xf>
    <xf numFmtId="0" fontId="19" fillId="6" borderId="0" xfId="0" applyFont="1" applyFill="1" applyBorder="1" applyAlignment="1">
      <alignment wrapText="1" readingOrder="1"/>
    </xf>
    <xf numFmtId="0" fontId="19" fillId="6" borderId="0" xfId="0" applyFont="1" applyFill="1" applyBorder="1" applyAlignment="1">
      <alignment wrapText="1" readingOrder="1"/>
    </xf>
    <xf numFmtId="0" fontId="17" fillId="6" borderId="0" xfId="0" applyFont="1" applyFill="1" applyBorder="1" applyAlignment="1">
      <alignment wrapText="1" readingOrder="1"/>
    </xf>
    <xf numFmtId="0" fontId="17" fillId="6" borderId="0" xfId="0" applyFont="1" applyFill="1" applyBorder="1" applyAlignment="1">
      <alignment wrapText="1" readingOrder="1"/>
    </xf>
    <xf numFmtId="0" fontId="22" fillId="2" borderId="0" xfId="50" applyFont="1" applyFill="1" applyBorder="1" applyAlignment="1">
      <alignment horizontal="left" vertical="center"/>
    </xf>
    <xf numFmtId="0" fontId="19" fillId="6" borderId="0" xfId="0" applyFont="1" applyFill="1" applyBorder="1" applyAlignment="1">
      <alignment wrapText="1" readingOrder="1"/>
    </xf>
    <xf numFmtId="0" fontId="19" fillId="6" borderId="0" xfId="0" applyFont="1" applyFill="1" applyBorder="1" applyAlignment="1">
      <alignment wrapText="1" readingOrder="1"/>
    </xf>
    <xf numFmtId="0" fontId="17" fillId="6" borderId="0" xfId="0" applyFont="1" applyFill="1" applyBorder="1" applyAlignment="1">
      <alignment wrapText="1" readingOrder="1"/>
    </xf>
    <xf numFmtId="0" fontId="12" fillId="2" borderId="0" xfId="0" applyFont="1" applyFill="1" applyBorder="1" applyAlignment="1"/>
    <xf numFmtId="0" fontId="11" fillId="4" borderId="0" xfId="0" applyFont="1" applyFill="1" applyBorder="1" applyAlignment="1"/>
    <xf numFmtId="0" fontId="12" fillId="2" borderId="0" xfId="0" applyFont="1" applyFill="1" applyBorder="1" applyAlignment="1"/>
    <xf numFmtId="0" fontId="10" fillId="2" borderId="0" xfId="0" applyFont="1" applyFill="1" applyBorder="1" applyAlignment="1"/>
    <xf numFmtId="0" fontId="1" fillId="2" borderId="0" xfId="0" applyFont="1" applyFill="1" applyAlignment="1">
      <alignment wrapText="1"/>
    </xf>
    <xf numFmtId="0" fontId="1" fillId="2" borderId="0" xfId="0" applyFont="1" applyFill="1" applyAlignment="1">
      <alignment vertical="center"/>
    </xf>
    <xf numFmtId="0" fontId="3" fillId="2" borderId="0" xfId="0" applyFont="1" applyFill="1" applyAlignment="1">
      <alignment horizontal="center"/>
    </xf>
    <xf numFmtId="1" fontId="1" fillId="2" borderId="0" xfId="0" applyNumberFormat="1" applyFont="1" applyFill="1"/>
    <xf numFmtId="0" fontId="1" fillId="2" borderId="0" xfId="0" applyFont="1" applyFill="1" applyAlignment="1">
      <alignment horizontal="left"/>
    </xf>
    <xf numFmtId="1" fontId="1" fillId="2" borderId="0" xfId="0" applyNumberFormat="1" applyFont="1" applyFill="1" applyProtection="1">
      <protection hidden="1"/>
    </xf>
    <xf numFmtId="0" fontId="2" fillId="2" borderId="0" xfId="0" applyFont="1" applyFill="1" applyAlignment="1">
      <alignment horizontal="left"/>
    </xf>
    <xf numFmtId="0" fontId="23" fillId="2" borderId="0" xfId="0" applyFont="1" applyFill="1" applyAlignment="1">
      <alignment horizontal="left"/>
    </xf>
    <xf numFmtId="0" fontId="24" fillId="2" borderId="0" xfId="0" applyFont="1" applyFill="1" applyAlignment="1">
      <alignment horizontal="left"/>
    </xf>
    <xf numFmtId="1" fontId="4" fillId="2" borderId="20" xfId="0" applyNumberFormat="1" applyFont="1" applyFill="1" applyBorder="1" applyAlignment="1"/>
    <xf numFmtId="1" fontId="4" fillId="2" borderId="1" xfId="0" applyNumberFormat="1" applyFont="1" applyFill="1" applyBorder="1" applyAlignment="1">
      <alignment vertical="center" wrapText="1"/>
    </xf>
    <xf numFmtId="0" fontId="5" fillId="2" borderId="1" xfId="0" applyFont="1" applyFill="1" applyBorder="1" applyAlignment="1">
      <alignment vertical="top" wrapText="1"/>
    </xf>
    <xf numFmtId="1" fontId="4" fillId="2" borderId="0" xfId="0" applyNumberFormat="1" applyFont="1" applyFill="1" applyBorder="1" applyAlignment="1"/>
    <xf numFmtId="0" fontId="1" fillId="4" borderId="0" xfId="0" applyFont="1" applyFill="1" applyBorder="1" applyAlignment="1"/>
    <xf numFmtId="1" fontId="1" fillId="2" borderId="0" xfId="0" applyNumberFormat="1" applyFont="1" applyFill="1" applyAlignment="1" applyProtection="1">
      <alignment vertical="center"/>
      <protection hidden="1"/>
    </xf>
    <xf numFmtId="0" fontId="1" fillId="2" borderId="0" xfId="0" applyFont="1" applyFill="1" applyAlignment="1">
      <alignment horizontal="left" vertical="center"/>
    </xf>
    <xf numFmtId="1" fontId="6" fillId="7" borderId="41" xfId="0" applyNumberFormat="1" applyFont="1" applyFill="1" applyBorder="1" applyAlignment="1">
      <alignment horizontal="center" vertical="center"/>
    </xf>
    <xf numFmtId="0" fontId="6" fillId="7" borderId="5"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42" xfId="0" applyFont="1" applyFill="1" applyBorder="1" applyAlignment="1">
      <alignment horizontal="center" vertical="center"/>
    </xf>
    <xf numFmtId="1" fontId="1" fillId="2" borderId="43" xfId="0" applyNumberFormat="1" applyFont="1" applyFill="1" applyBorder="1" applyAlignment="1">
      <alignment vertical="center"/>
    </xf>
    <xf numFmtId="49" fontId="1" fillId="2" borderId="9" xfId="0" applyNumberFormat="1" applyFont="1" applyFill="1" applyBorder="1" applyAlignment="1">
      <alignment horizontal="left" vertical="center"/>
    </xf>
    <xf numFmtId="0" fontId="25" fillId="2" borderId="9" xfId="6" applyNumberFormat="1" applyFont="1" applyFill="1" applyBorder="1" applyAlignment="1" applyProtection="1">
      <alignment horizontal="left" vertical="center"/>
    </xf>
    <xf numFmtId="0" fontId="1" fillId="2" borderId="44" xfId="0" applyFont="1" applyFill="1" applyBorder="1" applyAlignment="1">
      <alignment horizontal="left" vertical="center"/>
    </xf>
    <xf numFmtId="0" fontId="1" fillId="2" borderId="9" xfId="0" applyFont="1" applyFill="1" applyBorder="1" applyAlignment="1">
      <alignment horizontal="left" vertical="center"/>
    </xf>
    <xf numFmtId="1" fontId="1" fillId="2" borderId="45" xfId="0" applyNumberFormat="1" applyFont="1" applyFill="1" applyBorder="1" applyAlignment="1">
      <alignment vertical="center"/>
    </xf>
    <xf numFmtId="49" fontId="1" fillId="2" borderId="13" xfId="0" applyNumberFormat="1" applyFont="1" applyFill="1" applyBorder="1" applyAlignment="1">
      <alignment horizontal="left" vertical="center"/>
    </xf>
    <xf numFmtId="0" fontId="1" fillId="2" borderId="13" xfId="0" applyFont="1" applyFill="1" applyBorder="1" applyAlignment="1">
      <alignment horizontal="left" vertical="center"/>
    </xf>
    <xf numFmtId="0" fontId="1" fillId="2" borderId="46" xfId="0" applyFont="1" applyFill="1" applyBorder="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top"/>
    </xf>
    <xf numFmtId="0" fontId="1" fillId="0" borderId="0" xfId="0" applyFont="1"/>
    <xf numFmtId="0" fontId="1" fillId="0" borderId="0" xfId="0" applyFont="1" applyAlignment="1">
      <alignment horizontal="left" indent="1"/>
    </xf>
    <xf numFmtId="0" fontId="26" fillId="2" borderId="0" xfId="0" applyFont="1" applyFill="1" applyAlignment="1">
      <alignment horizontal="center" vertical="center"/>
    </xf>
    <xf numFmtId="0" fontId="27" fillId="0" borderId="20" xfId="0" applyFont="1" applyBorder="1" applyAlignment="1">
      <alignment horizontal="center" vertical="center"/>
    </xf>
    <xf numFmtId="0" fontId="2" fillId="0" borderId="1" xfId="0" applyFont="1" applyBorder="1" applyAlignment="1">
      <alignment horizontal="center" vertical="center"/>
    </xf>
    <xf numFmtId="0" fontId="4" fillId="2" borderId="0" xfId="0" applyFont="1" applyFill="1" applyAlignment="1">
      <alignment horizontal="left" indent="1"/>
    </xf>
    <xf numFmtId="0" fontId="5" fillId="0" borderId="0" xfId="0" applyFont="1" applyAlignment="1">
      <alignment horizontal="left" indent="1"/>
    </xf>
    <xf numFmtId="0" fontId="5" fillId="0" borderId="1" xfId="0" applyFont="1" applyBorder="1" applyAlignment="1">
      <alignment horizontal="left"/>
    </xf>
    <xf numFmtId="0" fontId="1" fillId="0" borderId="2" xfId="0" applyFont="1" applyBorder="1" applyAlignment="1"/>
    <xf numFmtId="0" fontId="5" fillId="0" borderId="1" xfId="0" applyFont="1" applyBorder="1" applyAlignment="1">
      <alignment horizontal="left" vertical="center"/>
    </xf>
    <xf numFmtId="0" fontId="5" fillId="0" borderId="2" xfId="0" applyFont="1" applyBorder="1" applyAlignment="1">
      <alignment horizontal="left" indent="1"/>
    </xf>
    <xf numFmtId="0" fontId="4" fillId="2" borderId="0" xfId="0" applyFont="1" applyFill="1" applyBorder="1"/>
    <xf numFmtId="0" fontId="5" fillId="0" borderId="0" xfId="0" applyFont="1" applyBorder="1" applyAlignment="1">
      <alignment horizontal="left"/>
    </xf>
    <xf numFmtId="0" fontId="1" fillId="0" borderId="0" xfId="0" applyFont="1" applyBorder="1" applyAlignment="1"/>
    <xf numFmtId="0" fontId="4" fillId="2" borderId="0" xfId="0" applyFont="1" applyFill="1" applyBorder="1" applyAlignment="1">
      <alignment horizontal="left" indent="1"/>
    </xf>
    <xf numFmtId="0" fontId="5" fillId="0" borderId="0" xfId="0" applyFont="1" applyBorder="1" applyAlignment="1">
      <alignment horizontal="left" indent="1"/>
    </xf>
    <xf numFmtId="0" fontId="1" fillId="0" borderId="0" xfId="0" applyFont="1" applyBorder="1" applyAlignment="1">
      <alignment horizontal="left" indent="1"/>
    </xf>
    <xf numFmtId="0" fontId="1" fillId="0" borderId="0" xfId="0" applyFont="1" applyBorder="1"/>
    <xf numFmtId="0" fontId="4" fillId="0" borderId="0" xfId="0" applyFont="1" applyAlignment="1">
      <alignment horizontal="left"/>
    </xf>
    <xf numFmtId="179" fontId="6" fillId="3" borderId="41" xfId="0" applyNumberFormat="1" applyFont="1" applyFill="1" applyBorder="1" applyAlignment="1">
      <alignment horizontal="center" vertical="center"/>
    </xf>
    <xf numFmtId="0" fontId="6" fillId="3" borderId="5" xfId="0" applyFont="1" applyFill="1" applyBorder="1" applyAlignment="1">
      <alignment horizontal="center" vertical="center"/>
    </xf>
    <xf numFmtId="0" fontId="6" fillId="3" borderId="42" xfId="0" applyFont="1" applyFill="1" applyBorder="1" applyAlignment="1">
      <alignment horizontal="center" vertical="center"/>
    </xf>
    <xf numFmtId="0" fontId="5" fillId="0" borderId="43" xfId="0" applyFont="1" applyBorder="1" applyAlignment="1">
      <alignment vertical="top" wrapText="1"/>
    </xf>
    <xf numFmtId="49" fontId="1" fillId="0" borderId="9" xfId="0" applyNumberFormat="1" applyFont="1" applyBorder="1" applyAlignment="1">
      <alignment vertical="top"/>
    </xf>
    <xf numFmtId="0" fontId="1" fillId="0" borderId="9" xfId="0" applyFont="1" applyBorder="1" applyAlignment="1">
      <alignment vertical="top"/>
    </xf>
    <xf numFmtId="15" fontId="1" fillId="0" borderId="9" xfId="0" applyNumberFormat="1" applyFont="1" applyBorder="1" applyAlignment="1">
      <alignment vertical="top"/>
    </xf>
    <xf numFmtId="0" fontId="5" fillId="0" borderId="44" xfId="0" applyFont="1" applyBorder="1" applyAlignment="1">
      <alignment vertical="top" wrapText="1"/>
    </xf>
    <xf numFmtId="179" fontId="1" fillId="0" borderId="43" xfId="0" applyNumberFormat="1" applyFont="1" applyBorder="1" applyAlignment="1">
      <alignment vertical="top"/>
    </xf>
    <xf numFmtId="0" fontId="1" fillId="0" borderId="44" xfId="0" applyFont="1" applyBorder="1" applyAlignment="1">
      <alignment vertical="top"/>
    </xf>
    <xf numFmtId="179" fontId="1" fillId="0" borderId="45" xfId="0" applyNumberFormat="1" applyFont="1" applyBorder="1" applyAlignment="1">
      <alignment vertical="top"/>
    </xf>
    <xf numFmtId="49" fontId="1" fillId="0" borderId="13" xfId="0" applyNumberFormat="1" applyFont="1" applyBorder="1" applyAlignment="1">
      <alignment vertical="top"/>
    </xf>
    <xf numFmtId="0" fontId="1" fillId="0" borderId="13" xfId="0" applyFont="1" applyBorder="1" applyAlignment="1">
      <alignment vertical="top"/>
    </xf>
    <xf numFmtId="0" fontId="1" fillId="0" borderId="46" xfId="0" applyFont="1" applyBorder="1" applyAlignment="1">
      <alignment vertical="top"/>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Functional Test Case v1.0" xfId="49"/>
    <cellStyle name="Normal_Sheet1" xfId="50"/>
    <cellStyle name="標準_結合試験(AllOvertheWorld)" xfId="51"/>
  </cellStyles>
  <tableStyles count="1" defaultTableStyle="TableStyleMedium9" defaultPivotStyle="PivotStyleLight16">
    <tableStyle name="Invisible" pivot="0" table="0" count="0" xr9:uid="{F56CBD31-2E51-4608-B215-E94942C15FAA}"/>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terface%20Test%20cas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terface test case"/>
      <sheetName val="Test Report"/>
      <sheetName val="Sheet1"/>
    </sheetNames>
    <sheetDataSet>
      <sheetData sheetId="0">
        <row r="6">
          <cell r="A6">
            <v>0</v>
          </cell>
          <cell r="B6">
            <v>0</v>
          </cell>
          <cell r="C6">
            <v>7</v>
          </cell>
          <cell r="D6">
            <v>0</v>
          </cell>
          <cell r="E6">
            <v>7</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18"/>
  <sheetViews>
    <sheetView workbookViewId="0">
      <selection activeCell="F25" sqref="F25"/>
    </sheetView>
  </sheetViews>
  <sheetFormatPr defaultColWidth="9" defaultRowHeight="12.75" outlineLevelCol="6"/>
  <cols>
    <col min="1" max="1" width="2.25" style="174" customWidth="1"/>
    <col min="2" max="2" width="19.625" style="175" customWidth="1"/>
    <col min="3" max="3" width="9.25" style="174" customWidth="1"/>
    <col min="4" max="4" width="14.5" style="174" customWidth="1"/>
    <col min="5" max="5" width="8" style="174" customWidth="1"/>
    <col min="6" max="6" width="31.125" style="174" customWidth="1"/>
    <col min="7" max="7" width="31" style="174" customWidth="1"/>
    <col min="8" max="16384" width="9" style="174"/>
  </cols>
  <sheetData>
    <row r="2" s="171" customFormat="1" ht="75.75" customHeight="1" spans="1:7">
      <c r="A2" s="176"/>
      <c r="B2" s="177"/>
      <c r="C2" s="178" t="s">
        <v>0</v>
      </c>
      <c r="D2" s="178"/>
      <c r="E2" s="178"/>
      <c r="F2" s="178"/>
      <c r="G2" s="178"/>
    </row>
    <row r="3" spans="2:6">
      <c r="B3" s="179"/>
      <c r="C3" s="180"/>
      <c r="F3" s="1"/>
    </row>
    <row r="4" ht="14.25" customHeight="1" spans="2:7">
      <c r="B4" s="8" t="s">
        <v>1</v>
      </c>
      <c r="C4" s="181" t="s">
        <v>2</v>
      </c>
      <c r="D4" s="181"/>
      <c r="E4" s="181"/>
      <c r="F4" s="8" t="s">
        <v>3</v>
      </c>
      <c r="G4" s="182"/>
    </row>
    <row r="5" ht="14.25" customHeight="1" spans="2:7">
      <c r="B5" s="8" t="s">
        <v>4</v>
      </c>
      <c r="C5" s="181" t="s">
        <v>5</v>
      </c>
      <c r="D5" s="181"/>
      <c r="E5" s="181"/>
      <c r="F5" s="8" t="s">
        <v>6</v>
      </c>
      <c r="G5" s="182"/>
    </row>
    <row r="6" ht="15.75" customHeight="1" spans="2:7">
      <c r="B6" s="6" t="s">
        <v>7</v>
      </c>
      <c r="C6" s="183" t="str">
        <f>C5&amp;"_"&amp;"XXX"&amp;"_"&amp;"vx.x"</f>
        <v>&lt;Project Code&gt;_XXX_vx.x</v>
      </c>
      <c r="D6" s="183"/>
      <c r="E6" s="183"/>
      <c r="F6" s="8" t="s">
        <v>8</v>
      </c>
      <c r="G6" s="184"/>
    </row>
    <row r="7" ht="13.5" customHeight="1" spans="2:7">
      <c r="B7" s="6"/>
      <c r="C7" s="183"/>
      <c r="D7" s="183"/>
      <c r="E7" s="183"/>
      <c r="F7" s="8" t="s">
        <v>9</v>
      </c>
      <c r="G7" s="184"/>
    </row>
    <row r="8" spans="2:7">
      <c r="B8" s="185"/>
      <c r="C8" s="186"/>
      <c r="D8" s="187"/>
      <c r="E8" s="187"/>
      <c r="F8" s="188"/>
      <c r="G8" s="189"/>
    </row>
    <row r="9" spans="2:6">
      <c r="B9" s="190"/>
      <c r="C9" s="191"/>
      <c r="D9" s="191"/>
      <c r="E9" s="191"/>
      <c r="F9" s="191"/>
    </row>
    <row r="10" spans="2:2">
      <c r="B10" s="192" t="s">
        <v>10</v>
      </c>
    </row>
    <row r="11" s="172" customFormat="1" spans="2:7">
      <c r="B11" s="193" t="s">
        <v>11</v>
      </c>
      <c r="C11" s="194" t="s">
        <v>9</v>
      </c>
      <c r="D11" s="194" t="s">
        <v>12</v>
      </c>
      <c r="E11" s="194" t="s">
        <v>13</v>
      </c>
      <c r="F11" s="194" t="s">
        <v>14</v>
      </c>
      <c r="G11" s="195" t="s">
        <v>15</v>
      </c>
    </row>
    <row r="12" s="173" customFormat="1" ht="25.5" spans="2:7">
      <c r="B12" s="196" t="s">
        <v>16</v>
      </c>
      <c r="C12" s="197"/>
      <c r="D12" s="198"/>
      <c r="E12" s="198"/>
      <c r="F12" s="199"/>
      <c r="G12" s="200" t="s">
        <v>17</v>
      </c>
    </row>
    <row r="13" s="173" customFormat="1" ht="21.75" customHeight="1" spans="2:7">
      <c r="B13" s="201"/>
      <c r="C13" s="197"/>
      <c r="D13" s="198"/>
      <c r="E13" s="198"/>
      <c r="F13" s="198"/>
      <c r="G13" s="202"/>
    </row>
    <row r="14" s="173" customFormat="1" ht="19.5" customHeight="1" spans="2:7">
      <c r="B14" s="201"/>
      <c r="C14" s="197"/>
      <c r="D14" s="198"/>
      <c r="E14" s="198"/>
      <c r="F14" s="198"/>
      <c r="G14" s="202"/>
    </row>
    <row r="15" s="173" customFormat="1" ht="21.75" customHeight="1" spans="2:7">
      <c r="B15" s="201"/>
      <c r="C15" s="197"/>
      <c r="D15" s="198"/>
      <c r="E15" s="198"/>
      <c r="F15" s="198"/>
      <c r="G15" s="202"/>
    </row>
    <row r="16" s="173" customFormat="1" ht="19.5" customHeight="1" spans="2:7">
      <c r="B16" s="201"/>
      <c r="C16" s="197"/>
      <c r="D16" s="198"/>
      <c r="E16" s="198"/>
      <c r="F16" s="198"/>
      <c r="G16" s="202"/>
    </row>
    <row r="17" s="173" customFormat="1" ht="21.75" customHeight="1" spans="2:7">
      <c r="B17" s="201"/>
      <c r="C17" s="197"/>
      <c r="D17" s="198"/>
      <c r="E17" s="198"/>
      <c r="F17" s="198"/>
      <c r="G17" s="202"/>
    </row>
    <row r="18" s="173" customFormat="1" ht="19.5" customHeight="1" spans="2:7">
      <c r="B18" s="203"/>
      <c r="C18" s="204"/>
      <c r="D18" s="205"/>
      <c r="E18" s="205"/>
      <c r="F18" s="205"/>
      <c r="G18" s="206"/>
    </row>
  </sheetData>
  <mergeCells count="5">
    <mergeCell ref="C2:G2"/>
    <mergeCell ref="C4:E4"/>
    <mergeCell ref="C5:E5"/>
    <mergeCell ref="B6:B7"/>
    <mergeCell ref="C6:E7"/>
  </mergeCells>
  <pageMargins left="0.470138888888889" right="0.470138888888889" top="0.5" bottom="0.351388888888889" header="0.511805555555556" footer="0.170138888888889"/>
  <pageSetup paperSize="9" orientation="landscape" horizontalDpi="300" verticalDpi="300"/>
  <headerFooter alignWithMargins="0">
    <oddFooter>&amp;L&amp;"Tahoma,Regular"&amp;8 02ae-BM/PM/HDCV/FSOFT v2/0&amp;C&amp;"Tahoma,Regular"&amp;8Internal use&amp;R&amp;"tahomaTahoma,Regular"&amp;8&amp;P/&amp;N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1"/>
  <sheetViews>
    <sheetView workbookViewId="0">
      <selection activeCell="C34" sqref="C34"/>
    </sheetView>
  </sheetViews>
  <sheetFormatPr defaultColWidth="9" defaultRowHeight="12.75" outlineLevelCol="5"/>
  <cols>
    <col min="1" max="1" width="1.375" style="1" customWidth="1"/>
    <col min="2" max="2" width="11.75" style="145" customWidth="1"/>
    <col min="3" max="3" width="26.5" style="146" customWidth="1"/>
    <col min="4" max="4" width="17.125" style="146" customWidth="1"/>
    <col min="5" max="5" width="28.125" style="146" customWidth="1"/>
    <col min="6" max="6" width="30.625" style="146" customWidth="1"/>
    <col min="7" max="16384" width="9" style="1"/>
  </cols>
  <sheetData>
    <row r="1" ht="25.5" spans="2:5">
      <c r="B1" s="147"/>
      <c r="D1" s="148" t="s">
        <v>18</v>
      </c>
      <c r="E1" s="149"/>
    </row>
    <row r="2" ht="13.5" customHeight="1" spans="2:5">
      <c r="B2" s="147"/>
      <c r="D2" s="150"/>
      <c r="E2" s="150"/>
    </row>
    <row r="3" spans="2:6">
      <c r="B3" s="151" t="s">
        <v>1</v>
      </c>
      <c r="C3" s="151"/>
      <c r="D3" s="7" t="str">
        <f>Cover!C4</f>
        <v>&lt;Project Name&gt;</v>
      </c>
      <c r="E3" s="7"/>
      <c r="F3" s="7"/>
    </row>
    <row r="4" spans="2:6">
      <c r="B4" s="151" t="s">
        <v>4</v>
      </c>
      <c r="C4" s="151"/>
      <c r="D4" s="7" t="str">
        <f>Cover!C5</f>
        <v>&lt;Project Code&gt;</v>
      </c>
      <c r="E4" s="7"/>
      <c r="F4" s="7"/>
    </row>
    <row r="5" s="142" customFormat="1" ht="84.75" customHeight="1" spans="2:6">
      <c r="B5" s="152" t="s">
        <v>19</v>
      </c>
      <c r="C5" s="152"/>
      <c r="D5" s="153" t="s">
        <v>20</v>
      </c>
      <c r="E5" s="153"/>
      <c r="F5" s="153"/>
    </row>
    <row r="6" spans="2:6">
      <c r="B6" s="154"/>
      <c r="C6" s="155"/>
      <c r="D6" s="155"/>
      <c r="E6" s="155"/>
      <c r="F6" s="155"/>
    </row>
    <row r="7" s="143" customFormat="1" spans="2:6">
      <c r="B7" s="156"/>
      <c r="C7" s="157"/>
      <c r="D7" s="157"/>
      <c r="E7" s="157"/>
      <c r="F7" s="157"/>
    </row>
    <row r="8" s="144" customFormat="1" ht="21" customHeight="1" spans="2:6">
      <c r="B8" s="158" t="s">
        <v>21</v>
      </c>
      <c r="C8" s="159" t="s">
        <v>22</v>
      </c>
      <c r="D8" s="159" t="s">
        <v>23</v>
      </c>
      <c r="E8" s="160" t="s">
        <v>24</v>
      </c>
      <c r="F8" s="161" t="s">
        <v>25</v>
      </c>
    </row>
    <row r="9" spans="2:6">
      <c r="B9" s="162">
        <v>1</v>
      </c>
      <c r="C9" s="163" t="s">
        <v>26</v>
      </c>
      <c r="D9" s="164" t="s">
        <v>27</v>
      </c>
      <c r="E9" s="164"/>
      <c r="F9" s="165"/>
    </row>
    <row r="10" spans="2:6">
      <c r="B10" s="162">
        <v>2</v>
      </c>
      <c r="C10" s="163" t="s">
        <v>28</v>
      </c>
      <c r="D10" s="164" t="s">
        <v>27</v>
      </c>
      <c r="E10" s="164"/>
      <c r="F10" s="165"/>
    </row>
    <row r="11" spans="2:6">
      <c r="B11" s="162">
        <v>3</v>
      </c>
      <c r="C11" s="163" t="s">
        <v>29</v>
      </c>
      <c r="D11" s="164" t="s">
        <v>27</v>
      </c>
      <c r="E11" s="164"/>
      <c r="F11" s="165"/>
    </row>
    <row r="12" spans="2:6">
      <c r="B12" s="162">
        <v>4</v>
      </c>
      <c r="C12" s="163" t="s">
        <v>30</v>
      </c>
      <c r="D12" s="164" t="s">
        <v>31</v>
      </c>
      <c r="E12" s="164"/>
      <c r="F12" s="165"/>
    </row>
    <row r="13" spans="2:6">
      <c r="B13" s="162">
        <v>5</v>
      </c>
      <c r="C13" s="163" t="s">
        <v>32</v>
      </c>
      <c r="D13" s="164" t="s">
        <v>31</v>
      </c>
      <c r="E13" s="164"/>
      <c r="F13" s="165"/>
    </row>
    <row r="14" spans="2:6">
      <c r="B14" s="162"/>
      <c r="C14" s="163"/>
      <c r="D14" s="166"/>
      <c r="E14" s="166"/>
      <c r="F14" s="165"/>
    </row>
    <row r="15" spans="2:6">
      <c r="B15" s="162"/>
      <c r="C15" s="163"/>
      <c r="D15" s="166"/>
      <c r="E15" s="166"/>
      <c r="F15" s="165"/>
    </row>
    <row r="16" spans="2:6">
      <c r="B16" s="162"/>
      <c r="C16" s="163"/>
      <c r="D16" s="166"/>
      <c r="E16" s="166"/>
      <c r="F16" s="165"/>
    </row>
    <row r="17" spans="2:6">
      <c r="B17" s="162"/>
      <c r="C17" s="163"/>
      <c r="D17" s="166"/>
      <c r="E17" s="166"/>
      <c r="F17" s="165"/>
    </row>
    <row r="18" spans="2:6">
      <c r="B18" s="162"/>
      <c r="C18" s="163"/>
      <c r="D18" s="166"/>
      <c r="E18" s="166"/>
      <c r="F18" s="165"/>
    </row>
    <row r="19" spans="2:6">
      <c r="B19" s="162"/>
      <c r="C19" s="163"/>
      <c r="D19" s="166"/>
      <c r="E19" s="166"/>
      <c r="F19" s="165"/>
    </row>
    <row r="20" spans="2:6">
      <c r="B20" s="162"/>
      <c r="C20" s="163"/>
      <c r="D20" s="166"/>
      <c r="E20" s="166"/>
      <c r="F20" s="165"/>
    </row>
    <row r="21" spans="2:6">
      <c r="B21" s="167"/>
      <c r="C21" s="168"/>
      <c r="D21" s="169"/>
      <c r="E21" s="169"/>
      <c r="F21" s="170"/>
    </row>
  </sheetData>
  <mergeCells count="6">
    <mergeCell ref="B3:C3"/>
    <mergeCell ref="D3:F3"/>
    <mergeCell ref="B4:C4"/>
    <mergeCell ref="D4:F4"/>
    <mergeCell ref="B5:C5"/>
    <mergeCell ref="D5:F5"/>
  </mergeCells>
  <hyperlinks>
    <hyperlink ref="D9" location="Module1!B10" display="Module1"/>
    <hyperlink ref="D10" location="Module1!B14" display="Module1"/>
    <hyperlink ref="D11" location="Module1!B17" display="Module1"/>
    <hyperlink ref="D12" location="Module2!B10" display="Module2"/>
    <hyperlink ref="D13" location="Module2!B14" display="Module2"/>
  </hyperlinks>
  <pageMargins left="0.747916666666667" right="0.747916666666667" top="0.984027777777778" bottom="1.15069444444444" header="0.511805555555556" footer="0.984027777777778"/>
  <pageSetup paperSize="9" orientation="landscape" horizontalDpi="300" verticalDpi="300"/>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8"/>
  <sheetViews>
    <sheetView tabSelected="1" zoomScale="85" zoomScaleNormal="85" workbookViewId="0">
      <pane ySplit="8" topLeftCell="A10" activePane="bottomLeft" state="frozen"/>
      <selection/>
      <selection pane="bottomLeft" activeCell="M11" sqref="M11"/>
    </sheetView>
  </sheetViews>
  <sheetFormatPr defaultColWidth="9" defaultRowHeight="12.75"/>
  <cols>
    <col min="1" max="1" width="11.775" style="42" customWidth="1"/>
    <col min="2" max="2" width="19.1083333333333" style="42" customWidth="1"/>
    <col min="3" max="3" width="32.1083333333333" style="42" customWidth="1"/>
    <col min="4" max="4" width="28.4416666666667" style="42" customWidth="1"/>
    <col min="5" max="5" width="15" style="42" customWidth="1"/>
    <col min="6" max="6" width="7.10833333333333" style="42" customWidth="1"/>
    <col min="7" max="7" width="11.775" style="42" customWidth="1"/>
    <col min="8" max="8" width="31.8833333333333" style="42" customWidth="1"/>
    <col min="9" max="9" width="8.21666666666667" style="43" customWidth="1"/>
    <col min="10" max="10" width="9" style="42" hidden="1" customWidth="1"/>
    <col min="11" max="16384" width="9" style="42"/>
  </cols>
  <sheetData>
    <row r="1" s="40" customFormat="1" ht="13.5" spans="1:9">
      <c r="A1" s="44"/>
      <c r="B1" s="45"/>
      <c r="C1" s="45"/>
      <c r="D1" s="45"/>
      <c r="E1" s="45"/>
      <c r="F1" s="46"/>
      <c r="G1" s="47"/>
      <c r="H1" s="48"/>
      <c r="I1" s="122"/>
    </row>
    <row r="2" s="40" customFormat="1" ht="15" customHeight="1" spans="1:10">
      <c r="A2" s="49" t="s">
        <v>33</v>
      </c>
      <c r="B2" s="50" t="s">
        <v>34</v>
      </c>
      <c r="C2" s="50"/>
      <c r="D2" s="50"/>
      <c r="E2" s="50"/>
      <c r="F2" s="50"/>
      <c r="G2" s="51"/>
      <c r="H2" s="48"/>
      <c r="I2" s="122"/>
      <c r="J2" s="40" t="s">
        <v>35</v>
      </c>
    </row>
    <row r="3" s="40" customFormat="1" ht="25.5" customHeight="1" spans="1:10">
      <c r="A3" s="52" t="s">
        <v>36</v>
      </c>
      <c r="B3" s="50" t="s">
        <v>37</v>
      </c>
      <c r="C3" s="50"/>
      <c r="D3" s="50"/>
      <c r="E3" s="50"/>
      <c r="F3" s="50"/>
      <c r="G3" s="51"/>
      <c r="H3" s="48"/>
      <c r="I3" s="122"/>
      <c r="J3" s="40" t="s">
        <v>38</v>
      </c>
    </row>
    <row r="4" s="40" customFormat="1" ht="18" customHeight="1" spans="1:10">
      <c r="A4" s="49" t="s">
        <v>39</v>
      </c>
      <c r="B4" s="53"/>
      <c r="C4" s="53"/>
      <c r="D4" s="53"/>
      <c r="E4" s="53"/>
      <c r="F4" s="53"/>
      <c r="G4" s="51"/>
      <c r="H4" s="48"/>
      <c r="I4" s="122"/>
      <c r="J4" s="123"/>
    </row>
    <row r="5" s="40" customFormat="1" ht="19.5" customHeight="1" spans="1:10">
      <c r="A5" s="54" t="s">
        <v>35</v>
      </c>
      <c r="B5" s="55" t="s">
        <v>38</v>
      </c>
      <c r="C5" s="55" t="s">
        <v>40</v>
      </c>
      <c r="D5" s="56" t="s">
        <v>41</v>
      </c>
      <c r="E5" s="57" t="s">
        <v>42</v>
      </c>
      <c r="F5" s="57"/>
      <c r="G5" s="58"/>
      <c r="H5" s="58"/>
      <c r="I5" s="124"/>
      <c r="J5" s="40" t="s">
        <v>43</v>
      </c>
    </row>
    <row r="6" s="40" customFormat="1" ht="15" customHeight="1" spans="1:10">
      <c r="A6" s="59">
        <f>COUNTIF(F9:F997,"Pass")</f>
        <v>7</v>
      </c>
      <c r="B6" s="60">
        <f>COUNTIF(F9:F997,"Fail")</f>
        <v>0</v>
      </c>
      <c r="C6" s="60">
        <f>E6-D6-B6-A6</f>
        <v>0</v>
      </c>
      <c r="D6" s="61">
        <f>COUNTIF(F$9:F$997,"N/A")</f>
        <v>0</v>
      </c>
      <c r="E6" s="62">
        <f>COUNTA(A9:A997)</f>
        <v>7</v>
      </c>
      <c r="F6" s="62"/>
      <c r="G6" s="58"/>
      <c r="H6" s="58"/>
      <c r="I6" s="124"/>
      <c r="J6" s="40" t="s">
        <v>41</v>
      </c>
    </row>
    <row r="7" s="40" customFormat="1" ht="15" customHeight="1" spans="4:9">
      <c r="D7" s="63"/>
      <c r="E7" s="63"/>
      <c r="F7" s="58"/>
      <c r="G7" s="58"/>
      <c r="H7" s="58"/>
      <c r="I7" s="124"/>
    </row>
    <row r="8" s="40" customFormat="1" ht="25.5" customHeight="1" spans="1:9">
      <c r="A8" s="64" t="s">
        <v>44</v>
      </c>
      <c r="B8" s="64" t="s">
        <v>45</v>
      </c>
      <c r="C8" s="64" t="s">
        <v>46</v>
      </c>
      <c r="D8" s="64" t="s">
        <v>47</v>
      </c>
      <c r="E8" s="65" t="s">
        <v>48</v>
      </c>
      <c r="F8" s="65" t="s">
        <v>49</v>
      </c>
      <c r="G8" s="65" t="s">
        <v>48</v>
      </c>
      <c r="H8" s="66" t="s">
        <v>24</v>
      </c>
      <c r="I8" s="125"/>
    </row>
    <row r="9" s="41" customFormat="1" ht="99.75" spans="1:16">
      <c r="A9" s="67" t="s">
        <v>50</v>
      </c>
      <c r="B9" s="67" t="s">
        <v>51</v>
      </c>
      <c r="C9" s="67" t="s">
        <v>52</v>
      </c>
      <c r="D9" s="67" t="s">
        <v>53</v>
      </c>
      <c r="E9" s="67" t="s">
        <v>54</v>
      </c>
      <c r="F9" s="68" t="s">
        <v>35</v>
      </c>
      <c r="G9" s="69"/>
      <c r="H9" s="70"/>
      <c r="I9" s="126"/>
      <c r="K9" s="127"/>
      <c r="L9" s="127"/>
      <c r="M9" s="127"/>
      <c r="N9" s="127"/>
      <c r="O9" s="127"/>
      <c r="P9" s="127"/>
    </row>
    <row r="10" s="41" customFormat="1" ht="99.75" spans="1:16">
      <c r="A10" s="67" t="s">
        <v>55</v>
      </c>
      <c r="B10" s="67" t="s">
        <v>56</v>
      </c>
      <c r="C10" s="67" t="s">
        <v>57</v>
      </c>
      <c r="D10" s="67" t="s">
        <v>58</v>
      </c>
      <c r="E10" s="67" t="s">
        <v>41</v>
      </c>
      <c r="F10" s="68" t="s">
        <v>35</v>
      </c>
      <c r="G10" s="69"/>
      <c r="H10" s="70"/>
      <c r="I10" s="126"/>
      <c r="K10" s="128"/>
      <c r="L10" s="129"/>
      <c r="M10" s="129"/>
      <c r="N10" s="129"/>
      <c r="O10" s="129"/>
      <c r="P10" s="129"/>
    </row>
    <row r="11" s="42" customFormat="1" ht="99.75" spans="1:16">
      <c r="A11" s="67" t="s">
        <v>59</v>
      </c>
      <c r="B11" s="67" t="s">
        <v>60</v>
      </c>
      <c r="C11" s="67" t="s">
        <v>61</v>
      </c>
      <c r="D11" s="67" t="s">
        <v>62</v>
      </c>
      <c r="E11" s="67" t="s">
        <v>41</v>
      </c>
      <c r="F11" s="71" t="s">
        <v>35</v>
      </c>
      <c r="G11" s="72"/>
      <c r="H11" s="73"/>
      <c r="I11" s="126"/>
      <c r="K11" s="130"/>
      <c r="L11" s="127"/>
      <c r="M11" s="131"/>
      <c r="N11" s="132"/>
      <c r="O11" s="132"/>
      <c r="P11" s="133"/>
    </row>
    <row r="12" s="42" customFormat="1" ht="129.75" customHeight="1" spans="1:16">
      <c r="A12" s="67" t="s">
        <v>63</v>
      </c>
      <c r="B12" s="67" t="s">
        <v>64</v>
      </c>
      <c r="C12" s="67" t="s">
        <v>65</v>
      </c>
      <c r="D12" s="67" t="s">
        <v>66</v>
      </c>
      <c r="E12" s="67" t="s">
        <v>67</v>
      </c>
      <c r="F12" s="71" t="s">
        <v>35</v>
      </c>
      <c r="G12" s="72"/>
      <c r="H12" s="73"/>
      <c r="I12" s="126"/>
      <c r="K12" s="127"/>
      <c r="L12" s="127"/>
      <c r="M12" s="131"/>
      <c r="N12" s="132"/>
      <c r="O12" s="132"/>
      <c r="P12" s="133"/>
    </row>
    <row r="13" s="40" customFormat="1" ht="114" spans="1:17">
      <c r="A13" s="67" t="s">
        <v>68</v>
      </c>
      <c r="B13" s="67" t="s">
        <v>69</v>
      </c>
      <c r="C13" s="67" t="s">
        <v>70</v>
      </c>
      <c r="D13" s="67" t="s">
        <v>71</v>
      </c>
      <c r="E13" s="67" t="s">
        <v>72</v>
      </c>
      <c r="F13" s="71" t="s">
        <v>35</v>
      </c>
      <c r="G13" s="72"/>
      <c r="H13" s="73"/>
      <c r="I13" s="134"/>
      <c r="K13" s="127"/>
      <c r="L13" s="127"/>
      <c r="M13" s="131"/>
      <c r="N13" s="132"/>
      <c r="O13" s="132"/>
      <c r="P13" s="133"/>
      <c r="Q13" s="141"/>
    </row>
    <row r="14" s="42" customFormat="1" ht="114" spans="1:16">
      <c r="A14" s="67" t="s">
        <v>73</v>
      </c>
      <c r="B14" s="67" t="s">
        <v>74</v>
      </c>
      <c r="C14" s="67" t="s">
        <v>75</v>
      </c>
      <c r="D14" s="67" t="s">
        <v>76</v>
      </c>
      <c r="E14" s="67" t="s">
        <v>77</v>
      </c>
      <c r="F14" s="74" t="s">
        <v>35</v>
      </c>
      <c r="G14" s="75"/>
      <c r="H14" s="76"/>
      <c r="I14" s="126"/>
      <c r="K14" s="135"/>
      <c r="L14" s="127"/>
      <c r="M14" s="136"/>
      <c r="N14" s="137"/>
      <c r="O14" s="137"/>
      <c r="P14" s="133"/>
    </row>
    <row r="15" s="42" customFormat="1" ht="99.75" spans="1:16">
      <c r="A15" s="77" t="s">
        <v>78</v>
      </c>
      <c r="B15" s="77" t="s">
        <v>79</v>
      </c>
      <c r="C15" s="77" t="s">
        <v>80</v>
      </c>
      <c r="D15" s="77" t="s">
        <v>81</v>
      </c>
      <c r="E15" s="77" t="s">
        <v>82</v>
      </c>
      <c r="F15" s="78" t="s">
        <v>35</v>
      </c>
      <c r="G15" s="79"/>
      <c r="H15" s="80"/>
      <c r="I15" s="138"/>
      <c r="K15" s="139"/>
      <c r="L15" s="139"/>
      <c r="M15" s="139"/>
      <c r="N15" s="139"/>
      <c r="O15" s="139"/>
      <c r="P15" s="139"/>
    </row>
    <row r="16" s="40" customFormat="1" ht="15.75" customHeight="1" spans="1:16">
      <c r="A16" s="81"/>
      <c r="B16" s="81"/>
      <c r="C16" s="81"/>
      <c r="D16" s="81"/>
      <c r="E16" s="81"/>
      <c r="F16" s="81"/>
      <c r="G16" s="81"/>
      <c r="H16" s="82"/>
      <c r="I16" s="134"/>
      <c r="K16" s="127"/>
      <c r="L16" s="127"/>
      <c r="M16" s="131"/>
      <c r="N16" s="132"/>
      <c r="O16" s="132"/>
      <c r="P16" s="133"/>
    </row>
    <row r="17" s="42" customFormat="1" ht="15" spans="9:16">
      <c r="I17" s="126"/>
      <c r="K17" s="127"/>
      <c r="L17" s="127"/>
      <c r="M17" s="131"/>
      <c r="N17" s="132"/>
      <c r="O17" s="132"/>
      <c r="P17" s="133"/>
    </row>
    <row r="18" s="42" customFormat="1" customHeight="1" spans="2:16">
      <c r="B18" s="83"/>
      <c r="C18" s="84"/>
      <c r="D18" s="85"/>
      <c r="E18" s="86"/>
      <c r="F18" s="87"/>
      <c r="G18" s="88"/>
      <c r="H18" s="89"/>
      <c r="I18" s="43"/>
      <c r="K18" s="127"/>
      <c r="L18" s="127"/>
      <c r="M18" s="131"/>
      <c r="N18" s="132"/>
      <c r="O18" s="132"/>
      <c r="P18" s="133"/>
    </row>
    <row r="19" s="42" customFormat="1" ht="15" spans="2:16">
      <c r="B19" s="90"/>
      <c r="C19" s="91"/>
      <c r="D19" s="92"/>
      <c r="E19" s="93"/>
      <c r="F19" s="94"/>
      <c r="G19" s="95"/>
      <c r="H19" s="96"/>
      <c r="I19" s="43"/>
      <c r="K19" s="127"/>
      <c r="L19" s="127"/>
      <c r="M19" s="136"/>
      <c r="N19" s="137"/>
      <c r="O19" s="137"/>
      <c r="P19" s="133"/>
    </row>
    <row r="20" s="42" customFormat="1" ht="16.5" customHeight="1" spans="2:16">
      <c r="B20" s="97"/>
      <c r="C20" s="98"/>
      <c r="D20" s="99"/>
      <c r="E20" s="99"/>
      <c r="F20" s="99"/>
      <c r="G20" s="95"/>
      <c r="H20" s="96"/>
      <c r="I20" s="43"/>
      <c r="K20" s="139"/>
      <c r="L20" s="139"/>
      <c r="M20" s="139"/>
      <c r="N20" s="139"/>
      <c r="O20" s="139"/>
      <c r="P20" s="139"/>
    </row>
    <row r="21" s="42" customFormat="1" ht="16.5" customHeight="1" spans="2:16">
      <c r="B21" s="100"/>
      <c r="C21" s="101"/>
      <c r="D21" s="102"/>
      <c r="E21" s="102"/>
      <c r="F21" s="102"/>
      <c r="G21" s="95"/>
      <c r="H21" s="96"/>
      <c r="I21" s="43"/>
      <c r="K21" s="127"/>
      <c r="L21" s="127"/>
      <c r="M21" s="131"/>
      <c r="N21" s="132"/>
      <c r="O21" s="132"/>
      <c r="P21" s="133"/>
    </row>
    <row r="22" s="42" customFormat="1" ht="15" spans="2:16">
      <c r="B22" s="103"/>
      <c r="C22" s="101"/>
      <c r="D22" s="104"/>
      <c r="E22" s="104"/>
      <c r="F22" s="105"/>
      <c r="G22" s="95"/>
      <c r="H22" s="96"/>
      <c r="I22" s="43"/>
      <c r="K22" s="127"/>
      <c r="L22" s="127"/>
      <c r="M22" s="131"/>
      <c r="N22" s="132"/>
      <c r="O22" s="132"/>
      <c r="P22" s="133"/>
    </row>
    <row r="23" s="42" customFormat="1" ht="15" spans="2:16">
      <c r="B23" s="103"/>
      <c r="C23" s="101"/>
      <c r="D23" s="104"/>
      <c r="E23" s="104"/>
      <c r="F23" s="105"/>
      <c r="G23" s="95"/>
      <c r="H23" s="96"/>
      <c r="I23" s="43"/>
      <c r="K23" s="127"/>
      <c r="L23" s="127"/>
      <c r="M23" s="131"/>
      <c r="N23" s="132"/>
      <c r="O23" s="132"/>
      <c r="P23" s="133"/>
    </row>
    <row r="24" s="42" customFormat="1" ht="15" spans="2:16">
      <c r="B24" s="103"/>
      <c r="C24" s="101"/>
      <c r="D24" s="104"/>
      <c r="E24" s="104"/>
      <c r="F24" s="105"/>
      <c r="G24" s="95"/>
      <c r="H24" s="96"/>
      <c r="I24" s="43"/>
      <c r="K24" s="127"/>
      <c r="L24" s="127"/>
      <c r="M24" s="131"/>
      <c r="N24" s="132"/>
      <c r="O24" s="132"/>
      <c r="P24" s="133"/>
    </row>
    <row r="25" s="42" customFormat="1" ht="15" spans="2:16">
      <c r="B25" s="103"/>
      <c r="C25" s="101"/>
      <c r="D25" s="104"/>
      <c r="E25" s="104"/>
      <c r="F25" s="105"/>
      <c r="G25" s="95"/>
      <c r="H25" s="96"/>
      <c r="I25" s="43"/>
      <c r="K25" s="139"/>
      <c r="L25" s="127"/>
      <c r="M25" s="131"/>
      <c r="N25" s="132"/>
      <c r="O25" s="132"/>
      <c r="P25" s="133"/>
    </row>
    <row r="26" s="42" customFormat="1" ht="15" spans="2:16">
      <c r="B26" s="103"/>
      <c r="C26" s="101"/>
      <c r="D26" s="104"/>
      <c r="E26" s="104"/>
      <c r="F26" s="105"/>
      <c r="G26" s="95"/>
      <c r="H26" s="106"/>
      <c r="I26" s="43"/>
      <c r="K26" s="127"/>
      <c r="L26" s="127"/>
      <c r="M26" s="131"/>
      <c r="N26" s="132"/>
      <c r="O26" s="132"/>
      <c r="P26" s="133"/>
    </row>
    <row r="27" s="42" customFormat="1" ht="43.5" customHeight="1" spans="2:16">
      <c r="B27" s="103"/>
      <c r="C27" s="101"/>
      <c r="D27" s="104"/>
      <c r="E27" s="104"/>
      <c r="F27" s="105"/>
      <c r="G27" s="95"/>
      <c r="H27" s="96"/>
      <c r="I27" s="43"/>
      <c r="K27" s="127"/>
      <c r="L27" s="127"/>
      <c r="M27" s="131"/>
      <c r="N27" s="132"/>
      <c r="O27" s="132"/>
      <c r="P27" s="133"/>
    </row>
    <row r="28" s="42" customFormat="1" ht="30.75" customHeight="1" spans="2:16">
      <c r="B28" s="100"/>
      <c r="C28" s="102"/>
      <c r="D28" s="102"/>
      <c r="E28" s="102"/>
      <c r="F28" s="102"/>
      <c r="G28" s="95"/>
      <c r="H28" s="96"/>
      <c r="I28" s="43"/>
      <c r="K28" s="139"/>
      <c r="L28" s="127"/>
      <c r="M28" s="136"/>
      <c r="N28" s="137"/>
      <c r="O28" s="137"/>
      <c r="P28" s="133"/>
    </row>
    <row r="29" s="42" customFormat="1" ht="15" spans="2:16">
      <c r="B29" s="103"/>
      <c r="C29" s="99"/>
      <c r="D29" s="104"/>
      <c r="E29" s="104"/>
      <c r="F29" s="104"/>
      <c r="G29" s="95"/>
      <c r="H29" s="96"/>
      <c r="I29" s="43"/>
      <c r="K29" s="131"/>
      <c r="L29" s="139"/>
      <c r="M29" s="139"/>
      <c r="N29" s="139"/>
      <c r="O29" s="139"/>
      <c r="P29" s="139"/>
    </row>
    <row r="30" s="42" customFormat="1" ht="15" spans="2:16">
      <c r="B30" s="103"/>
      <c r="C30" s="99"/>
      <c r="D30" s="104"/>
      <c r="E30" s="104"/>
      <c r="F30" s="104"/>
      <c r="G30" s="95"/>
      <c r="H30" s="96"/>
      <c r="I30" s="43"/>
      <c r="K30" s="131"/>
      <c r="L30" s="127"/>
      <c r="M30" s="131"/>
      <c r="N30" s="132"/>
      <c r="O30" s="132"/>
      <c r="P30" s="133"/>
    </row>
    <row r="31" s="42" customFormat="1" ht="15" spans="2:16">
      <c r="B31" s="103"/>
      <c r="C31" s="99"/>
      <c r="D31" s="104"/>
      <c r="E31" s="104"/>
      <c r="F31" s="107"/>
      <c r="G31" s="95"/>
      <c r="H31" s="96"/>
      <c r="I31" s="43"/>
      <c r="K31" s="131"/>
      <c r="L31" s="127"/>
      <c r="M31" s="131"/>
      <c r="N31" s="132"/>
      <c r="O31" s="132"/>
      <c r="P31" s="133"/>
    </row>
    <row r="32" s="42" customFormat="1" ht="144" customHeight="1" spans="2:16">
      <c r="B32" s="108"/>
      <c r="C32" s="109"/>
      <c r="D32" s="110"/>
      <c r="E32" s="110"/>
      <c r="F32" s="111"/>
      <c r="G32" s="112"/>
      <c r="H32" s="106"/>
      <c r="I32" s="43"/>
      <c r="K32" s="131"/>
      <c r="L32" s="127"/>
      <c r="M32" s="132"/>
      <c r="N32" s="132"/>
      <c r="O32" s="132"/>
      <c r="P32" s="133"/>
    </row>
    <row r="33" s="42" customFormat="1" ht="87" customHeight="1" spans="2:16">
      <c r="B33" s="103"/>
      <c r="C33" s="99"/>
      <c r="D33" s="104"/>
      <c r="E33" s="104"/>
      <c r="F33" s="107"/>
      <c r="G33" s="113"/>
      <c r="H33" s="114"/>
      <c r="I33" s="140"/>
      <c r="J33" s="121"/>
      <c r="K33" s="131"/>
      <c r="L33" s="127"/>
      <c r="M33" s="132"/>
      <c r="N33" s="132"/>
      <c r="O33" s="132"/>
      <c r="P33" s="133"/>
    </row>
    <row r="34" s="42" customFormat="1" ht="15" spans="2:16">
      <c r="B34" s="103"/>
      <c r="C34" s="99"/>
      <c r="D34" s="104"/>
      <c r="E34" s="104"/>
      <c r="F34" s="107"/>
      <c r="G34" s="113"/>
      <c r="H34" s="96"/>
      <c r="I34" s="43"/>
      <c r="K34" s="136"/>
      <c r="L34" s="127"/>
      <c r="M34" s="132"/>
      <c r="N34" s="132"/>
      <c r="O34" s="132"/>
      <c r="P34" s="133"/>
    </row>
    <row r="35" s="42" customFormat="1" ht="15" spans="2:16">
      <c r="B35" s="103"/>
      <c r="C35" s="99"/>
      <c r="D35" s="104"/>
      <c r="E35" s="104"/>
      <c r="F35" s="107"/>
      <c r="G35" s="113"/>
      <c r="H35" s="96"/>
      <c r="I35" s="43"/>
      <c r="K35" s="121"/>
      <c r="L35" s="127"/>
      <c r="M35" s="137"/>
      <c r="N35" s="137"/>
      <c r="O35" s="137"/>
      <c r="P35" s="133"/>
    </row>
    <row r="36" s="42" customFormat="1" ht="15.75" customHeight="1" spans="2:16">
      <c r="B36" s="103"/>
      <c r="C36" s="99"/>
      <c r="D36" s="104"/>
      <c r="E36" s="104"/>
      <c r="F36" s="107"/>
      <c r="G36" s="113"/>
      <c r="H36" s="96"/>
      <c r="I36" s="43"/>
      <c r="K36" s="121"/>
      <c r="L36" s="139"/>
      <c r="M36" s="139"/>
      <c r="N36" s="139"/>
      <c r="O36" s="139"/>
      <c r="P36" s="139"/>
    </row>
    <row r="37" s="42" customFormat="1" ht="144" customHeight="1" spans="2:16">
      <c r="B37" s="100"/>
      <c r="C37" s="102"/>
      <c r="D37" s="102"/>
      <c r="E37" s="102"/>
      <c r="F37" s="102"/>
      <c r="G37" s="113"/>
      <c r="H37" s="96"/>
      <c r="I37" s="43"/>
      <c r="K37" s="121"/>
      <c r="L37" s="127"/>
      <c r="M37" s="131"/>
      <c r="N37" s="132"/>
      <c r="O37" s="132"/>
      <c r="P37" s="133"/>
    </row>
    <row r="38" s="42" customFormat="1" ht="15" spans="2:16">
      <c r="B38" s="103"/>
      <c r="C38" s="99"/>
      <c r="D38" s="104"/>
      <c r="E38" s="104"/>
      <c r="F38" s="105"/>
      <c r="G38" s="113"/>
      <c r="H38" s="96"/>
      <c r="I38" s="43"/>
      <c r="L38" s="127"/>
      <c r="M38" s="131"/>
      <c r="N38" s="132"/>
      <c r="O38" s="132"/>
      <c r="P38" s="133"/>
    </row>
    <row r="39" s="42" customFormat="1" ht="15" spans="2:16">
      <c r="B39" s="103"/>
      <c r="C39" s="99"/>
      <c r="D39" s="104"/>
      <c r="E39" s="104"/>
      <c r="F39" s="105"/>
      <c r="G39" s="113"/>
      <c r="H39" s="96"/>
      <c r="I39" s="43"/>
      <c r="L39" s="127"/>
      <c r="M39" s="131"/>
      <c r="N39" s="132"/>
      <c r="O39" s="132"/>
      <c r="P39" s="133"/>
    </row>
    <row r="40" s="42" customFormat="1" ht="87" customHeight="1" spans="2:16">
      <c r="B40" s="103"/>
      <c r="C40" s="99"/>
      <c r="D40" s="104"/>
      <c r="E40" s="104"/>
      <c r="F40" s="105"/>
      <c r="G40" s="113"/>
      <c r="H40" s="96"/>
      <c r="I40" s="43"/>
      <c r="L40" s="127"/>
      <c r="M40" s="136"/>
      <c r="N40" s="137"/>
      <c r="O40" s="137"/>
      <c r="P40" s="133"/>
    </row>
    <row r="41" s="42" customFormat="1" ht="15" spans="2:16">
      <c r="B41" s="103"/>
      <c r="C41" s="99"/>
      <c r="D41" s="104"/>
      <c r="E41" s="104"/>
      <c r="F41" s="105"/>
      <c r="G41" s="113"/>
      <c r="H41" s="96"/>
      <c r="I41" s="43"/>
      <c r="L41" s="139"/>
      <c r="M41" s="139"/>
      <c r="N41" s="139"/>
      <c r="O41" s="139"/>
      <c r="P41" s="139"/>
    </row>
    <row r="42" s="42" customFormat="1" ht="159" customHeight="1" spans="2:16">
      <c r="B42" s="103"/>
      <c r="C42" s="99"/>
      <c r="D42" s="104"/>
      <c r="E42" s="104"/>
      <c r="F42" s="105"/>
      <c r="G42" s="113"/>
      <c r="H42" s="96"/>
      <c r="I42" s="43"/>
      <c r="L42" s="139"/>
      <c r="M42" s="139"/>
      <c r="N42" s="139"/>
      <c r="O42" s="139"/>
      <c r="P42" s="139"/>
    </row>
    <row r="43" s="42" customFormat="1" ht="15" spans="2:16">
      <c r="B43" s="103"/>
      <c r="C43" s="99"/>
      <c r="D43" s="104"/>
      <c r="E43" s="104"/>
      <c r="F43" s="105"/>
      <c r="G43" s="113"/>
      <c r="H43" s="96"/>
      <c r="I43" s="43"/>
      <c r="L43" s="127"/>
      <c r="M43" s="131"/>
      <c r="N43" s="132"/>
      <c r="O43" s="132"/>
      <c r="P43" s="133"/>
    </row>
    <row r="44" s="42" customFormat="1" ht="15" spans="2:16">
      <c r="B44" s="103"/>
      <c r="C44" s="99"/>
      <c r="D44" s="104"/>
      <c r="E44" s="104"/>
      <c r="F44" s="105"/>
      <c r="G44" s="113"/>
      <c r="H44" s="96"/>
      <c r="I44" s="43"/>
      <c r="L44" s="127"/>
      <c r="M44" s="131"/>
      <c r="N44" s="132"/>
      <c r="O44" s="132"/>
      <c r="P44" s="133"/>
    </row>
    <row r="45" s="42" customFormat="1" ht="15" spans="2:16">
      <c r="B45" s="103"/>
      <c r="C45" s="99"/>
      <c r="D45" s="104"/>
      <c r="E45" s="104"/>
      <c r="F45" s="105"/>
      <c r="G45" s="113"/>
      <c r="H45" s="96"/>
      <c r="I45" s="43"/>
      <c r="L45" s="127"/>
      <c r="M45" s="131"/>
      <c r="N45" s="132"/>
      <c r="O45" s="132"/>
      <c r="P45" s="133"/>
    </row>
    <row r="46" s="42" customFormat="1" ht="15" spans="2:16">
      <c r="B46" s="100"/>
      <c r="C46" s="102"/>
      <c r="D46" s="102"/>
      <c r="E46" s="102"/>
      <c r="F46" s="102"/>
      <c r="G46" s="113"/>
      <c r="H46" s="96"/>
      <c r="I46" s="43"/>
      <c r="L46" s="127"/>
      <c r="M46" s="131"/>
      <c r="N46" s="132"/>
      <c r="O46" s="132"/>
      <c r="P46" s="133"/>
    </row>
    <row r="47" s="42" customFormat="1" ht="15" spans="2:16">
      <c r="B47" s="103"/>
      <c r="C47" s="99"/>
      <c r="D47" s="104"/>
      <c r="E47" s="104"/>
      <c r="F47" s="104"/>
      <c r="G47" s="113"/>
      <c r="H47" s="96"/>
      <c r="I47" s="43"/>
      <c r="L47" s="127"/>
      <c r="M47" s="136"/>
      <c r="N47" s="137"/>
      <c r="O47" s="137"/>
      <c r="P47" s="133"/>
    </row>
    <row r="48" s="42" customFormat="1" ht="15" spans="2:16">
      <c r="B48" s="103"/>
      <c r="C48" s="99"/>
      <c r="D48" s="104"/>
      <c r="E48" s="104"/>
      <c r="F48" s="104"/>
      <c r="G48" s="113"/>
      <c r="H48" s="96"/>
      <c r="I48" s="43"/>
      <c r="L48" s="139"/>
      <c r="M48" s="139"/>
      <c r="N48" s="139"/>
      <c r="O48" s="139"/>
      <c r="P48" s="139"/>
    </row>
    <row r="49" s="42" customFormat="1" ht="15" spans="2:16">
      <c r="B49" s="103"/>
      <c r="C49" s="99"/>
      <c r="D49" s="104"/>
      <c r="E49" s="104"/>
      <c r="F49" s="104"/>
      <c r="G49" s="113"/>
      <c r="H49" s="96"/>
      <c r="I49" s="43"/>
      <c r="L49" s="127"/>
      <c r="M49" s="131"/>
      <c r="N49" s="132"/>
      <c r="O49" s="132"/>
      <c r="P49" s="133"/>
    </row>
    <row r="50" s="42" customFormat="1" ht="15" spans="2:16">
      <c r="B50" s="103"/>
      <c r="C50" s="99"/>
      <c r="D50" s="104"/>
      <c r="E50" s="104"/>
      <c r="F50" s="104"/>
      <c r="G50" s="113"/>
      <c r="H50" s="96"/>
      <c r="I50" s="43"/>
      <c r="L50" s="127"/>
      <c r="M50" s="131"/>
      <c r="N50" s="132"/>
      <c r="O50" s="132"/>
      <c r="P50" s="133"/>
    </row>
    <row r="51" s="42" customFormat="1" ht="15" spans="2:16">
      <c r="B51" s="115"/>
      <c r="C51" s="116"/>
      <c r="D51" s="117"/>
      <c r="E51" s="117"/>
      <c r="F51" s="117"/>
      <c r="G51" s="118"/>
      <c r="H51" s="119"/>
      <c r="I51" s="43"/>
      <c r="L51" s="127"/>
      <c r="M51" s="131"/>
      <c r="N51" s="132"/>
      <c r="O51" s="132"/>
      <c r="P51" s="133"/>
    </row>
    <row r="52" s="42" customFormat="1" ht="15" spans="2:16">
      <c r="B52" s="103"/>
      <c r="C52" s="99"/>
      <c r="D52" s="104"/>
      <c r="E52" s="104"/>
      <c r="F52" s="104"/>
      <c r="G52" s="113"/>
      <c r="I52" s="43"/>
      <c r="L52" s="127"/>
      <c r="M52" s="136"/>
      <c r="N52" s="137"/>
      <c r="O52" s="137"/>
      <c r="P52" s="133"/>
    </row>
    <row r="53" s="42" customFormat="1" ht="15" spans="2:9">
      <c r="B53" s="103"/>
      <c r="C53" s="99"/>
      <c r="D53" s="104"/>
      <c r="E53" s="104"/>
      <c r="F53" s="104"/>
      <c r="G53" s="113"/>
      <c r="I53" s="43"/>
    </row>
    <row r="54" s="42" customFormat="1" ht="15" spans="2:9">
      <c r="B54" s="103"/>
      <c r="C54" s="99"/>
      <c r="D54" s="104"/>
      <c r="E54" s="104"/>
      <c r="F54" s="104"/>
      <c r="G54" s="113"/>
      <c r="I54" s="43"/>
    </row>
    <row r="55" s="42" customFormat="1" spans="2:9">
      <c r="B55" s="100"/>
      <c r="C55" s="102"/>
      <c r="D55" s="102"/>
      <c r="E55" s="102"/>
      <c r="F55" s="102"/>
      <c r="G55" s="113"/>
      <c r="I55" s="43"/>
    </row>
    <row r="56" s="42" customFormat="1" ht="15" spans="2:9">
      <c r="B56" s="103"/>
      <c r="C56" s="99"/>
      <c r="D56" s="104"/>
      <c r="E56" s="104"/>
      <c r="F56" s="104"/>
      <c r="G56" s="113"/>
      <c r="I56" s="43"/>
    </row>
    <row r="57" s="42" customFormat="1" ht="15" spans="2:9">
      <c r="B57" s="103"/>
      <c r="C57" s="99"/>
      <c r="D57" s="104"/>
      <c r="E57" s="104"/>
      <c r="F57" s="104"/>
      <c r="G57" s="113"/>
      <c r="I57" s="43"/>
    </row>
    <row r="58" s="42" customFormat="1" spans="2:9">
      <c r="B58" s="100"/>
      <c r="C58" s="102"/>
      <c r="D58" s="102"/>
      <c r="E58" s="102"/>
      <c r="F58" s="102"/>
      <c r="G58" s="113"/>
      <c r="I58" s="43"/>
    </row>
    <row r="59" s="42" customFormat="1" spans="2:9">
      <c r="B59" s="120"/>
      <c r="C59" s="93"/>
      <c r="D59" s="93"/>
      <c r="E59" s="93"/>
      <c r="F59" s="93"/>
      <c r="G59" s="118"/>
      <c r="I59" s="43"/>
    </row>
    <row r="60" s="42" customFormat="1" spans="2:9">
      <c r="B60" s="121"/>
      <c r="C60" s="121"/>
      <c r="D60" s="121"/>
      <c r="E60" s="121"/>
      <c r="F60" s="121"/>
      <c r="G60" s="121"/>
      <c r="I60" s="43"/>
    </row>
    <row r="61" s="42" customFormat="1" spans="2:9">
      <c r="B61" s="121"/>
      <c r="C61" s="121"/>
      <c r="D61" s="121"/>
      <c r="E61" s="121"/>
      <c r="F61" s="121"/>
      <c r="G61" s="121"/>
      <c r="I61" s="43"/>
    </row>
    <row r="62" s="42" customFormat="1" spans="2:9">
      <c r="B62" s="121"/>
      <c r="C62" s="121"/>
      <c r="D62" s="121"/>
      <c r="E62" s="121"/>
      <c r="F62" s="121"/>
      <c r="G62" s="121"/>
      <c r="I62" s="43"/>
    </row>
    <row r="63" s="42" customFormat="1" spans="3:9">
      <c r="C63" s="121"/>
      <c r="D63" s="121"/>
      <c r="E63" s="121"/>
      <c r="F63" s="121"/>
      <c r="G63" s="121"/>
      <c r="I63" s="43"/>
    </row>
    <row r="64" s="42" customFormat="1" spans="3:9">
      <c r="C64" s="121"/>
      <c r="D64" s="121"/>
      <c r="E64" s="121"/>
      <c r="F64" s="121"/>
      <c r="G64" s="121"/>
      <c r="I64" s="43"/>
    </row>
    <row r="65" s="42" customFormat="1" spans="3:9">
      <c r="C65" s="121"/>
      <c r="D65" s="121"/>
      <c r="E65" s="121"/>
      <c r="F65" s="121"/>
      <c r="G65" s="121"/>
      <c r="I65" s="43"/>
    </row>
    <row r="66" s="42" customFormat="1" spans="5:9">
      <c r="E66" s="121"/>
      <c r="F66" s="121"/>
      <c r="G66" s="121"/>
      <c r="I66" s="43"/>
    </row>
    <row r="67" s="42" customFormat="1" spans="5:9">
      <c r="E67" s="121"/>
      <c r="F67" s="121"/>
      <c r="G67" s="121"/>
      <c r="I67" s="43"/>
    </row>
    <row r="68" s="42" customFormat="1" spans="7:9">
      <c r="G68" s="121"/>
      <c r="I68" s="43"/>
    </row>
  </sheetData>
  <mergeCells count="5">
    <mergeCell ref="B2:F2"/>
    <mergeCell ref="B3:F3"/>
    <mergeCell ref="B4:F4"/>
    <mergeCell ref="E5:F5"/>
    <mergeCell ref="E6:F6"/>
  </mergeCells>
  <dataValidations count="1">
    <dataValidation type="list" allowBlank="1" showErrorMessage="1" sqref="F1:F3 F7:F12 F13:F19 F58:F144">
      <formula1>$J$2:$J$6</formula1>
    </dataValidation>
  </dataValidations>
  <pageMargins left="0.747916666666667" right="0.25" top="0.75" bottom="0.984027777777778" header="0.5" footer="0.5"/>
  <pageSetup paperSize="9" orientation="landscape" horizontalDpi="300" verticalDpi="300"/>
  <headerFooter alignWithMargins="0">
    <oddHeader>&amp;LFacilitate_Test Case\Company&amp;Rv1.0</oddHeader>
    <oddFooter>&amp;L&amp;"Tahoma,Regular"&amp;8 02ae-BM/PM/HDCV/FSOFT v2/0&amp;C&amp;"Tahoma,Regular"&amp;10Internal use&amp;R&amp;"Tahoma,Regular"&amp;8&amp;P/&amp;N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C42" sqref="C42"/>
    </sheetView>
  </sheetViews>
  <sheetFormatPr defaultColWidth="9" defaultRowHeight="12.75" outlineLevelCol="7"/>
  <cols>
    <col min="1" max="1" width="9" style="1"/>
    <col min="2" max="2" width="13.5" style="1" customWidth="1"/>
    <col min="3" max="3" width="19.375" style="1" customWidth="1"/>
    <col min="4" max="7" width="9" style="1"/>
    <col min="8" max="9" width="33.125" style="1" customWidth="1"/>
    <col min="10" max="16384" width="9" style="1"/>
  </cols>
  <sheetData>
    <row r="1" ht="25.5" customHeight="1" spans="2:8">
      <c r="B1" s="2" t="s">
        <v>83</v>
      </c>
      <c r="C1" s="2"/>
      <c r="D1" s="2"/>
      <c r="E1" s="2"/>
      <c r="F1" s="2"/>
      <c r="G1" s="2"/>
      <c r="H1" s="2"/>
    </row>
    <row r="2" ht="14.25" customHeight="1" spans="1:8">
      <c r="A2" s="3"/>
      <c r="B2" s="3"/>
      <c r="C2" s="4"/>
      <c r="D2" s="4"/>
      <c r="E2" s="4"/>
      <c r="F2" s="4"/>
      <c r="G2" s="4"/>
      <c r="H2" s="5"/>
    </row>
    <row r="3" ht="12" customHeight="1" spans="2:8">
      <c r="B3" s="6" t="s">
        <v>1</v>
      </c>
      <c r="C3" s="7" t="s">
        <v>2</v>
      </c>
      <c r="D3" s="7"/>
      <c r="E3" s="8" t="s">
        <v>3</v>
      </c>
      <c r="F3" s="8"/>
      <c r="G3" s="9"/>
      <c r="H3" s="10"/>
    </row>
    <row r="4" ht="12" customHeight="1" spans="2:8">
      <c r="B4" s="6" t="s">
        <v>4</v>
      </c>
      <c r="C4" s="7" t="s">
        <v>5</v>
      </c>
      <c r="D4" s="7"/>
      <c r="E4" s="8" t="s">
        <v>6</v>
      </c>
      <c r="F4" s="8"/>
      <c r="G4" s="9"/>
      <c r="H4" s="10"/>
    </row>
    <row r="5" ht="12" customHeight="1" spans="2:8">
      <c r="B5" s="11" t="s">
        <v>7</v>
      </c>
      <c r="C5" s="7" t="str">
        <f>C4&amp;"_"&amp;"Test Report"&amp;"_"&amp;"vx.x"</f>
        <v>&lt;Project Code&gt;_Test Report_vx.x</v>
      </c>
      <c r="D5" s="7"/>
      <c r="E5" s="8" t="s">
        <v>8</v>
      </c>
      <c r="F5" s="8"/>
      <c r="G5" s="9"/>
      <c r="H5" s="12" t="s">
        <v>84</v>
      </c>
    </row>
    <row r="6" ht="21.75" customHeight="1" spans="1:8">
      <c r="A6" s="3"/>
      <c r="B6" s="11" t="s">
        <v>85</v>
      </c>
      <c r="C6" s="13" t="s">
        <v>86</v>
      </c>
      <c r="D6" s="13"/>
      <c r="E6" s="13"/>
      <c r="F6" s="13"/>
      <c r="G6" s="13"/>
      <c r="H6" s="13"/>
    </row>
    <row r="7" ht="14.25" customHeight="1" spans="1:8">
      <c r="A7" s="3"/>
      <c r="B7" s="14"/>
      <c r="C7" s="15"/>
      <c r="D7" s="4"/>
      <c r="E7" s="4"/>
      <c r="F7" s="4"/>
      <c r="G7" s="4"/>
      <c r="H7" s="5"/>
    </row>
    <row r="8" spans="2:8">
      <c r="B8" s="14"/>
      <c r="C8" s="15"/>
      <c r="D8" s="4"/>
      <c r="E8" s="4"/>
      <c r="F8" s="4"/>
      <c r="G8" s="4"/>
      <c r="H8" s="5"/>
    </row>
    <row r="9" spans="1:8">
      <c r="A9" s="16"/>
      <c r="B9" s="16"/>
      <c r="C9" s="16"/>
      <c r="D9" s="16"/>
      <c r="E9" s="16"/>
      <c r="F9" s="16"/>
      <c r="G9" s="16"/>
      <c r="H9" s="16"/>
    </row>
    <row r="10" spans="1:8">
      <c r="A10" s="17"/>
      <c r="B10" s="18" t="s">
        <v>21</v>
      </c>
      <c r="C10" s="19" t="s">
        <v>87</v>
      </c>
      <c r="D10" s="20" t="s">
        <v>35</v>
      </c>
      <c r="E10" s="19" t="s">
        <v>38</v>
      </c>
      <c r="F10" s="19" t="s">
        <v>40</v>
      </c>
      <c r="G10" s="21" t="s">
        <v>41</v>
      </c>
      <c r="H10" s="22" t="s">
        <v>88</v>
      </c>
    </row>
    <row r="11" spans="1:8">
      <c r="A11" s="23"/>
      <c r="B11" s="24">
        <v>1</v>
      </c>
      <c r="C11" s="25" t="str">
        <f>'User Interface test case'!B2</f>
        <v>Module_User_Interface</v>
      </c>
      <c r="D11" s="26">
        <f>'[1]Interface test case'!A6</f>
        <v>0</v>
      </c>
      <c r="E11" s="26">
        <f>'[1]Interface test case'!B6</f>
        <v>0</v>
      </c>
      <c r="F11" s="26">
        <f>'[1]Interface test case'!C6</f>
        <v>7</v>
      </c>
      <c r="G11" s="26">
        <f>'[1]Interface test case'!D6</f>
        <v>0</v>
      </c>
      <c r="H11" s="26">
        <f>'[1]Interface test case'!E6</f>
        <v>7</v>
      </c>
    </row>
    <row r="12" spans="1:8">
      <c r="A12" s="23"/>
      <c r="B12" s="24"/>
      <c r="C12" s="25"/>
      <c r="D12" s="26"/>
      <c r="E12" s="26"/>
      <c r="F12" s="26"/>
      <c r="G12" s="27"/>
      <c r="H12" s="28"/>
    </row>
    <row r="13" spans="1:8">
      <c r="A13" s="23"/>
      <c r="B13" s="29"/>
      <c r="C13" s="30" t="s">
        <v>89</v>
      </c>
      <c r="D13" s="31">
        <f>SUM(D9:D12)</f>
        <v>0</v>
      </c>
      <c r="E13" s="32">
        <f>SUM(E9:E12)</f>
        <v>0</v>
      </c>
      <c r="F13" s="32">
        <f>SUM(F9:F12)</f>
        <v>7</v>
      </c>
      <c r="G13" s="32">
        <f>SUM(G9:G12)</f>
        <v>0</v>
      </c>
      <c r="H13" s="33">
        <f>SUM(H9:H12)</f>
        <v>7</v>
      </c>
    </row>
    <row r="14" spans="1:8">
      <c r="A14" s="16"/>
      <c r="B14" s="34"/>
      <c r="C14" s="16"/>
      <c r="D14" s="35"/>
      <c r="E14" s="36"/>
      <c r="F14" s="36"/>
      <c r="G14" s="36"/>
      <c r="H14" s="36"/>
    </row>
    <row r="15" spans="1:8">
      <c r="A15" s="16"/>
      <c r="B15" s="16"/>
      <c r="C15" s="37" t="s">
        <v>90</v>
      </c>
      <c r="D15" s="16"/>
      <c r="E15" s="38">
        <f>(D13+E13)*100/(H13-G13)</f>
        <v>0</v>
      </c>
      <c r="F15" s="16" t="s">
        <v>91</v>
      </c>
      <c r="G15" s="16"/>
      <c r="H15" s="39"/>
    </row>
    <row r="16" spans="1:8">
      <c r="A16" s="16"/>
      <c r="B16" s="16"/>
      <c r="C16" s="37" t="s">
        <v>92</v>
      </c>
      <c r="D16" s="16"/>
      <c r="E16" s="38">
        <f>D13*100/(H13-G13)</f>
        <v>0</v>
      </c>
      <c r="F16" s="16" t="s">
        <v>91</v>
      </c>
      <c r="G16" s="16"/>
      <c r="H16" s="39"/>
    </row>
    <row r="17" spans="3:4">
      <c r="C17" s="16"/>
      <c r="D17" s="16"/>
    </row>
  </sheetData>
  <mergeCells count="8">
    <mergeCell ref="B1:H1"/>
    <mergeCell ref="C3:D3"/>
    <mergeCell ref="E3:F3"/>
    <mergeCell ref="C4:D4"/>
    <mergeCell ref="E4:F4"/>
    <mergeCell ref="C5:D5"/>
    <mergeCell ref="E5:F5"/>
    <mergeCell ref="C6:H6"/>
  </mergeCells>
  <pageMargins left="0.747916666666667" right="0.747916666666667" top="0.984027777777778" bottom="0.984027777777778" header="0.511805555555556" footer="0.5"/>
  <pageSetup paperSize="1" orientation="landscape" horizontalDpi="300" verticalDpi="300"/>
  <headerFooter alignWithMargins="0">
    <oddFooter>&amp;L&amp;"Tahoma,Regular"&amp;8 02ae-BM/PM/HDCV/FSOFT v2/0&amp;C&amp;"tahoma,Regular"&amp;8Internal use&amp;R&amp;"Tahoma,Regular"&amp;8&amp;P/&amp;N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85ED280E-F51D-42B1-B363-4EC477D089ED}">
  <ds:schemaRefs/>
</ds:datastoreItem>
</file>

<file path=customXml/itemProps2.xml><?xml version="1.0" encoding="utf-8"?>
<ds:datastoreItem xmlns:ds="http://schemas.openxmlformats.org/officeDocument/2006/customXml" ds:itemID="{254E4968-24A4-4F33-B0CC-3206B895FA58}">
  <ds:schemaRefs/>
</ds:datastoreItem>
</file>

<file path=customXml/itemProps3.xml><?xml version="1.0" encoding="utf-8"?>
<ds:datastoreItem xmlns:ds="http://schemas.openxmlformats.org/officeDocument/2006/customXml" ds:itemID="{0FCAE63D-5380-40ED-A43E-1567E1C2037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Cover</vt:lpstr>
      <vt:lpstr>Test case List</vt:lpstr>
      <vt:lpstr>User Interface test case</vt: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pc</dc:creator>
  <dc:description>Updates sheet Cover: Add logo, document code, creator, reviewer/approver.
Add sheet Test Case List.
Change Sheet Company, User, Provider to Modules. Add column Inter-test case dependent. Update these sheets.
Update Test Report</dc:description>
  <cp:lastModifiedBy>Mikuru Mimix</cp:lastModifiedBy>
  <dcterms:created xsi:type="dcterms:W3CDTF">2011-06-02T09:10:00Z</dcterms:created>
  <cp:lastPrinted>2010-11-12T10:33:00Z</cp:lastPrinted>
  <dcterms:modified xsi:type="dcterms:W3CDTF">2025-12-19T05:12:58Z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1033-12.2.0.23155</vt:lpwstr>
  </property>
  <property fmtid="{D5CDD505-2E9C-101B-9397-08002B2CF9AE}" pid="3" name="ICV">
    <vt:lpwstr>434823B8389147A2BD261D69C95E13E0_12</vt:lpwstr>
  </property>
</Properties>
</file>