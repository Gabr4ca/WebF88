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6\12.12\đang làm\Templates\"/>
    </mc:Choice>
  </mc:AlternateContent>
  <bookViews>
    <workbookView xWindow="0" yWindow="0" windowWidth="20490" windowHeight="7635" tabRatio="821" activeTab="1"/>
  </bookViews>
  <sheets>
    <sheet name="Cover" sheetId="1" r:id="rId1"/>
    <sheet name="Test case List" sheetId="2" r:id="rId2"/>
    <sheet name="Program Interface" sheetId="8" r:id="rId3"/>
    <sheet name="User Interface test case" sheetId="7" r:id="rId4"/>
    <sheet name="Test Report" sheetId="5" r:id="rId5"/>
  </sheets>
  <definedNames>
    <definedName name="_xlnm._FilterDatabase" localSheetId="2" hidden="1">'Program Interface'!$A$8:$H$15</definedName>
    <definedName name="_xlnm._FilterDatabase" localSheetId="3" hidden="1">'User Interface test case'!$A$8:$H$15</definedName>
    <definedName name="ACTION" localSheetId="2">#REF!</definedName>
    <definedName name="ACTION">#REF!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 l="1"/>
  <c r="F12" i="5"/>
  <c r="G12" i="5"/>
  <c r="H12" i="5"/>
  <c r="D12" i="5"/>
  <c r="C12" i="5"/>
  <c r="C11" i="5"/>
  <c r="A6" i="8" l="1"/>
  <c r="D11" i="5" s="1"/>
  <c r="D13" i="5" s="1"/>
  <c r="B6" i="8"/>
  <c r="E11" i="5" s="1"/>
  <c r="E13" i="5" s="1"/>
  <c r="D6" i="8"/>
  <c r="G11" i="5" s="1"/>
  <c r="G13" i="5" s="1"/>
  <c r="E6" i="8"/>
  <c r="C6" i="8" s="1"/>
  <c r="F11" i="5" s="1"/>
  <c r="F13" i="5" s="1"/>
  <c r="C5" i="5"/>
  <c r="E6" i="7"/>
  <c r="D6" i="7"/>
  <c r="C6" i="7"/>
  <c r="B6" i="7"/>
  <c r="A6" i="7"/>
  <c r="D4" i="2"/>
  <c r="D3" i="2"/>
  <c r="C6" i="1"/>
  <c r="H11" i="5" l="1"/>
  <c r="H13" i="5" s="1"/>
  <c r="E16" i="5"/>
  <c r="E15" i="5"/>
</calcChain>
</file>

<file path=xl/comments1.xml><?xml version="1.0" encoding="utf-8"?>
<comments xmlns="http://schemas.openxmlformats.org/spreadsheetml/2006/main">
  <authors>
    <author/>
  </authors>
  <commentList>
    <comment ref="E11" authorId="0" shapeId="0">
      <text>
        <r>
          <rPr>
            <b/>
            <sz val="10"/>
            <color indexed="8"/>
            <rFont val="Times New Roman"/>
            <charset val="134"/>
          </rPr>
          <t>*A</t>
        </r>
        <r>
          <rPr>
            <sz val="10"/>
            <color indexed="8"/>
            <rFont val="Times New Roman"/>
            <charset val="134"/>
          </rPr>
          <t xml:space="preserve">: Add
  </t>
        </r>
        <r>
          <rPr>
            <b/>
            <sz val="10"/>
            <color indexed="8"/>
            <rFont val="Times New Roman"/>
            <charset val="134"/>
          </rPr>
          <t>M</t>
        </r>
        <r>
          <rPr>
            <sz val="10"/>
            <color indexed="8"/>
            <rFont val="Times New Roman"/>
            <charset val="134"/>
          </rPr>
          <t xml:space="preserve">: Modify
  </t>
        </r>
        <r>
          <rPr>
            <b/>
            <sz val="10"/>
            <color indexed="8"/>
            <rFont val="Times New Roman"/>
            <charset val="134"/>
          </rPr>
          <t>D</t>
        </r>
        <r>
          <rPr>
            <sz val="10"/>
            <color indexed="8"/>
            <rFont val="Times New Roman"/>
            <charset val="134"/>
          </rPr>
          <t xml:space="preserve">: Delete
</t>
        </r>
      </text>
    </comment>
  </commentList>
</comments>
</file>

<file path=xl/sharedStrings.xml><?xml version="1.0" encoding="utf-8"?>
<sst xmlns="http://schemas.openxmlformats.org/spreadsheetml/2006/main" count="182" uniqueCount="124">
  <si>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</si>
  <si>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</si>
  <si>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</si>
  <si>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</si>
  <si>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</si>
  <si>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</si>
  <si>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</si>
  <si>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</si>
  <si>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</si>
  <si>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</si>
  <si>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</si>
  <si>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</si>
  <si>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</si>
  <si>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</si>
  <si>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</si>
  <si>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</si>
  <si>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</si>
  <si>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&lt;List of documents which are referred in this version.&gt;</t>
  </si>
  <si>
    <t>TEST CASE LIST</t>
  </si>
  <si>
    <t>Test Environment Setup Description</t>
  </si>
  <si>
    <t>&lt;List enviroment requires in this system
1. Server
2. Database
3. Web Browser
...
&gt;</t>
  </si>
  <si>
    <t>No</t>
  </si>
  <si>
    <t>Function Name</t>
  </si>
  <si>
    <t>Sheet Name</t>
  </si>
  <si>
    <t>Description</t>
  </si>
  <si>
    <t>Pre-Condition</t>
  </si>
  <si>
    <t>Module Code</t>
  </si>
  <si>
    <t>Module_User_Interface</t>
  </si>
  <si>
    <t>Pass</t>
  </si>
  <si>
    <t>Test requirement</t>
  </si>
  <si>
    <t>Kiểm tra giao diện người dùng</t>
  </si>
  <si>
    <t>Fail</t>
  </si>
  <si>
    <t>Tester</t>
  </si>
  <si>
    <t>Untested</t>
  </si>
  <si>
    <t>N/A</t>
  </si>
  <si>
    <t>Number of Test cases</t>
  </si>
  <si>
    <t>Untesed</t>
  </si>
  <si>
    <t>ID</t>
  </si>
  <si>
    <t>Test Case Description</t>
  </si>
  <si>
    <t>Test Case Procedure</t>
  </si>
  <si>
    <t>Expected Output</t>
  </si>
  <si>
    <t>Test data</t>
  </si>
  <si>
    <t>Result</t>
  </si>
  <si>
    <t>UI-001</t>
  </si>
  <si>
    <t>Verify Homepage Layout on Full HD Screen
(Kiểm tra bố cục trang chủ trên màn hình rộng 1920px)</t>
  </si>
  <si>
    <t>1. Mở trình duyệt Chrome trên màn hình 1920x1080.
2. Truy cập trang chủ.
3. Quan sát Banner khuyến mãi và lưới (grid) món ăn.</t>
  </si>
  <si>
    <t>1. Banner hiển thị sắc nét, full chiều rộng, không bị vỡ hạt.
2. Danh sách món ăn hiển thị 4 hoặc 5 cột (tùy thiết kế), khoảng cách đều nhau.
3. Không xuất hiện thanh cuộn ngang (Horizontal Scrollbar).</t>
  </si>
  <si>
    <t>Màn hình 1920x1080</t>
  </si>
  <si>
    <t>UI-002</t>
  </si>
  <si>
    <t>Verify Hover Effects on Buttons
(Kiểm tra hiệu ứng rê chuột trên các nút bấm)</t>
  </si>
  <si>
    <t>1. Di chuột (Hover) vào nút "Thêm vào giỏ" của một món ăn bất kỳ.
2. Di chuột vào các link trên thanh Menu (Trang chủ, Thực đơn...).</t>
  </si>
  <si>
    <t>1. Con trỏ chuột đổi từ hình mũi tên sang hình bàn tay (Pointer).
2. Nút đổi màu nền (đậm hơn hoặc sáng hơn) để báo hiệu đang được chọn.
3. Hiệu ứng chuyển màu mượt mà (transition).</t>
  </si>
  <si>
    <t>UI-003</t>
  </si>
  <si>
    <t>Verify Keyboard Navigation (Tab Order)
(Kiểm tra điều hướng bằng bàn phím trên form Đăng nhập)</t>
  </si>
  <si>
    <t>1. Vào trang Đăng nhập.
2. Click chuột vào ô Username.
3. Nhấn phím Tab trên bàn phím.
4. Nhấn phím Tab lần nữa.
5. Nhấn Enter.</t>
  </si>
  <si>
    <t>1. Sau khi nhấn Tab lần 1: Con trỏ nhảy sang ô Password.
2. Sau khi nhấn Tab lần 2: Con trỏ nhảy xuống nút "Đăng nhập" (nút sáng lên/có viền focus).
3. Nhấn Enter: Thực hiện submit form đăng nhập.</t>
  </si>
  <si>
    <t>UI-004</t>
  </si>
  <si>
    <t>Verify Window Resize Behavior
(Kiểm tra khi thay đổi kích thước cửa sổ trình duyệt)</t>
  </si>
  <si>
    <t>1. Đang mở full màn hình.
2. Bấm nút "Restore Down" (thu nhỏ cửa sổ) hoặc kéo cạnh trình duyệt hẹp lại (còn khoảng 1024px).</t>
  </si>
  <si>
    <t>1. Bố cục tự động co lại.
2. Lưới món ăn giảm từ 4 cột xuống 3 cột (Responsive).
3. Hình ảnh và chữ không bị chồng đè lên nhau.
4. Menu ngang vẫn hiển thị tốt (chưa bị chuyển thành Hamburger menu).</t>
  </si>
  <si>
    <t>Kích thước window ngẫu nhiên</t>
  </si>
  <si>
    <t>UI-005</t>
  </si>
  <si>
    <t>Verify "Sticky" Header/Cart
(Kiểm tra thanh điều hướng dính khi cuộn trang)</t>
  </si>
  <si>
    <t>1. Vào trang Thực đơn (có danh sách món dài).
2. Cuộn chuột xuống dưới cùng trang.
3. Quan sát thanh Menu và biểu tượng Giỏ hàng.</t>
  </si>
  <si>
    <t>1. Thanh Menu (Header) vẫn ghim cố định ở mép trên cùng màn hình (hoặc hiện nút "Back to Top").
2. Người dùng có thể bấm vào Giỏ hàng bất cứ lúc nào mà không cần cuộn ngược lên đầu trang.</t>
  </si>
  <si>
    <t>Trang Menu nhiều món</t>
  </si>
  <si>
    <t>UI-006</t>
  </si>
  <si>
    <t>Verify Empty Cart UI State
(Kiểm tra giao diện giỏ hàng khi trống)</t>
  </si>
  <si>
    <t>1. Xóa hết món trong giỏ hàng.
2. Truy cập vào trang Giỏ hàng.</t>
  </si>
  <si>
    <t>1. Không hiển thị bảng trắng trơn hoặc lỗi.
2. Hiển thị hình minh họa (icon giỏ hàng buồn/trống).
3. Có dòng chữ "Giỏ hàng của bạn đang trống".
4. Có nút "Quay lại thực đơn" để kêu gọi hành động.</t>
  </si>
  <si>
    <t>Giỏ hàng rỗng</t>
  </si>
  <si>
    <t>UI-007</t>
  </si>
  <si>
    <t>Verify Image Lazy Loading
(Kiểm tra tải ảnh khi cuộn trang)</t>
  </si>
  <si>
    <t>1. Vào trang danh sách món ăn.
2. Cuộn chuột thật nhanh xuống phía dưới.</t>
  </si>
  <si>
    <t>1. Các khung hình ảnh hiển thị Placeholder (màu xám hoặc spinner) trước.
2. Sau khoảng tích tắc, hình ảnh món ăn mới hiện ra.
3. Giúp trang web không bị giật lag khi load nhiều ảnh.</t>
  </si>
  <si>
    <t>Mạng Wifi bình thường</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</si>
  <si>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</si>
  <si>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</si>
  <si>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</si>
  <si>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</si>
  <si>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</si>
  <si>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</si>
  <si>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</si>
  <si>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</si>
  <si>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</si>
  <si>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</si>
  <si>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r>
      <t xml:space="preserve">Keyword: </t>
    </r>
    <r>
      <rPr>
        <sz val="11"/>
        <color indexed="63"/>
        <rFont val="Arial"/>
        <family val="2"/>
      </rPr>
      <t>xyz123</t>
    </r>
  </si>
  <si>
    <t>1. Status Code: 200 OK.
2. Response Body: Trả về mảng rỗng [] (chứ không phải null hay lỗi).</t>
  </si>
  <si>
    <t>1. Gọi API tìm kiếm: GET /api/products?keyword=mon_khong_ton_tai.
2. Nhấn Send.</t>
  </si>
  <si>
    <t>Verify Search API with No Result
(Kiểm tra API tìm kiếm khi không có kết quả)</t>
  </si>
  <si>
    <t>INT-007</t>
  </si>
  <si>
    <t>Tọa độ A (Kho)
Tọa độ B (Nhà khách)</t>
  </si>
  <si>
    <t>1. Status Code: 200 OK.
2. Trả về đúng số km (ví dụ: 5.5 km) và phí ship tương ứng.
3. Dữ liệu trả về khớp với kết quả check tay trên Google Maps.</t>
  </si>
  <si>
    <t>1. Gọi API nội bộ tính phí ship: POST /api/shipping/calculate.
2. Body gửi 2 tọa độ (Kho và Khách hàng).
3. Backend sẽ gọi sang Google Maps API để lấy khoảng cách.</t>
  </si>
  <si>
    <t>Verify Google Maps API Integration
(Kiểm tra tích hợp API bản đồ)</t>
  </si>
  <si>
    <t>INT-006</t>
  </si>
  <si>
    <t>Token: Empty / Expired</t>
  </si>
  <si>
    <t>1. Status Code: 401 Unauthorized.
2. Response Body: "No token provided" hoặc "Token expired".</t>
  </si>
  <si>
    <t>1. Gọi API xem lịch sử đơn hàng: GET /api/users/profile.
2. Trong Header, KHÔNG gửi Authorization (Bearer Token) hoặc gửi Token hết hạn.
3. Nhấn Send.</t>
  </si>
  <si>
    <t>Verify Authentication Token (JWT)
(Kiểm tra bảo mật API bằng Token)</t>
  </si>
  <si>
    <t>INT-005</t>
  </si>
  <si>
    <r>
      <t xml:space="preserve">Invalid ID: </t>
    </r>
    <r>
      <rPr>
        <sz val="11"/>
        <color indexed="63"/>
        <rFont val="Arial"/>
        <family val="2"/>
      </rPr>
      <t>123_sai_format</t>
    </r>
  </si>
  <si>
    <t>1. Status Code: 400 Bad Request (hoặc 404).
2. Response Body chứa message lỗi rõ ràng: "Invalid Product ID".
3. Server KHÔNG bị crash (không hiện lỗi code html dài dòng).</t>
  </si>
  <si>
    <t>1. Gọi API lấy chi tiết món ăn: GET /api/products/123_sai_format.
2. Nhấn Send.</t>
  </si>
  <si>
    <t>Verify API Error Handling (Invalid ID)
(Kiểm tra xử lý lỗi khi gửi ID sai định dạng)</t>
  </si>
  <si>
    <t>INT-004</t>
  </si>
  <si>
    <t>OrderID: ORD-111
ResultCode: 0 (Success)</t>
  </si>
  <si>
    <t>1. API Webhook trả về Status 200 hoặc 204 (để báo cho Momo biết đã nhận tin).
2. Trong MongoDB, trạng thái đơn ORD-111 tự động chuyển thành "Paid" (hoặc "Confirmed").</t>
  </si>
  <si>
    <t>1. Tạo sẵn một đơn hàng trong DB có ID là ORD-111 (Status: Pending).
2. Giả lập request từ Server Momo bằng Postman: POST /api/payment/callback.
3. Body: { "orderId": "ORD-111", "resultCode": 0, "message": "Success" }.
4. Kiểm tra lại DB.</t>
  </si>
  <si>
    <t>Verify "Payment Callback" Webhook Processing
(Kiểm tra Backend xử lý khi nhận tín hiệu từ cổng thanh toán)</t>
  </si>
  <si>
    <t>INT-003</t>
  </si>
  <si>
    <t>JSON Body:
{"items": [{"id": "ga_ran", "qty": 2}], "address": "123 HCM"}</t>
  </si>
  <si>
    <t>1. API trả về Status 201 Created.
2. Trong MongoDB, bản ghi mới được tạo có:
- totalPrice khớp với tổng tiền gửi lên.
- status mặc định là "Pending".
- items được lưu đầy đủ.</t>
  </si>
  <si>
    <t>1. Dùng Postman gọi API POST /api/orders.
2. Body chứa thông tin đơn hàng hợp lệ.
3. Nhấn Send.
4. Mở MongoDB Compass, vào collection orders, tìm bản ghi mới nhất.</t>
  </si>
  <si>
    <t>Verify "Create Order" Data Integrity in Database
(Kiểm tra tính toàn vẹn dữ liệu khi tạo đơn hàng)</t>
  </si>
  <si>
    <t>INT-002</t>
  </si>
  <si>
    <t>Không có</t>
  </si>
  <si>
    <t>1. Status Code: 200 OK.
2. Response trả về là một mảng [] JSON.
3. Mỗi item phải có đủ các trường: _id, name, price, image, category.
4. Thời gian phản hồi &lt; 500ms.</t>
  </si>
  <si>
    <t>1. Mở Postman.
2. Set method GET.
3. Nhập URL: /api/products.
4. Nhấn Send.
5. Kiểm tra Status Code và cấu trúc JSON trong Body.</t>
  </si>
  <si>
    <t>Verify "Get Product List" API Response Structure
(Kiểm tra cấu trúc dữ liệu trả về của API danh sách món ăn)</t>
  </si>
  <si>
    <t>INT-001</t>
  </si>
  <si>
    <t>Module_Program Interface</t>
  </si>
  <si>
    <t>User Interface</t>
  </si>
  <si>
    <t>Program Interface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</si>
</sst>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mm\-yy;@"/>
  </numFmts>
  <fonts count="45">
    <font>
      <sz val="11"/>
      <name val="ＭＳ Ｐゴシック"/>
      <charset val="128"/>
    </font>
    <font>
      <sz val="10"/>
      <name val="Tahoma"/>
      <charset val="128"/>
    </font>
    <font>
      <b/>
      <sz val="20"/>
      <color indexed="8"/>
      <name val="Tahoma"/>
      <charset val="128"/>
    </font>
    <font>
      <b/>
      <sz val="10"/>
      <name val="Tahoma"/>
      <charset val="128"/>
    </font>
    <font>
      <b/>
      <sz val="10"/>
      <color indexed="60"/>
      <name val="Tahoma"/>
      <charset val="128"/>
    </font>
    <font>
      <i/>
      <sz val="10"/>
      <color indexed="17"/>
      <name val="Tahoma"/>
      <charset val="128"/>
    </font>
    <font>
      <b/>
      <sz val="10"/>
      <color indexed="9"/>
      <name val="Tahoma"/>
      <charset val="128"/>
    </font>
    <font>
      <sz val="10"/>
      <color indexed="9"/>
      <name val="Tahoma"/>
      <charset val="128"/>
    </font>
    <font>
      <b/>
      <sz val="10"/>
      <color indexed="12"/>
      <name val="Tahoma"/>
      <charset val="128"/>
    </font>
    <font>
      <sz val="10"/>
      <color indexed="8"/>
      <name val="Tahoma"/>
      <charset val="128"/>
    </font>
    <font>
      <sz val="10"/>
      <color indexed="8"/>
      <name val="Tahoma"/>
      <family val="2"/>
    </font>
    <font>
      <sz val="10"/>
      <name val="Tahoma"/>
      <family val="2"/>
    </font>
    <font>
      <sz val="10"/>
      <color indexed="10"/>
      <name val="Tahoma"/>
      <family val="2"/>
    </font>
    <font>
      <b/>
      <sz val="10"/>
      <name val="Tahoma"/>
      <family val="2"/>
    </font>
    <font>
      <i/>
      <sz val="10"/>
      <color indexed="17"/>
      <name val="Tahoma"/>
      <family val="2"/>
    </font>
    <font>
      <b/>
      <sz val="10"/>
      <color indexed="8"/>
      <name val="Tahoma"/>
      <family val="2"/>
    </font>
    <font>
      <b/>
      <sz val="10"/>
      <color indexed="9"/>
      <name val="Tahoma"/>
      <family val="2"/>
    </font>
    <font>
      <sz val="11"/>
      <color rgb="FF1F1F1F"/>
      <name val="Arial"/>
      <family val="3"/>
      <charset val="128"/>
    </font>
    <font>
      <sz val="10"/>
      <name val="Arial"/>
      <family val="2"/>
    </font>
    <font>
      <b/>
      <sz val="11"/>
      <color rgb="FF1F1F1F"/>
      <name val="Arial"/>
      <family val="3"/>
      <charset val="128"/>
    </font>
    <font>
      <sz val="11"/>
      <color rgb="FF444746"/>
      <name val="Arial"/>
      <family val="3"/>
      <charset val="128"/>
    </font>
    <font>
      <sz val="11"/>
      <name val="ＭＳ Ｐゴシック"/>
      <family val="3"/>
      <charset val="128"/>
    </font>
    <font>
      <b/>
      <sz val="10"/>
      <color indexed="10"/>
      <name val="Tahoma"/>
      <family val="2"/>
    </font>
    <font>
      <b/>
      <sz val="10"/>
      <color indexed="8"/>
      <name val="Tahoma"/>
      <charset val="128"/>
    </font>
    <font>
      <b/>
      <sz val="10"/>
      <color indexed="10"/>
      <name val="Tahoma"/>
      <charset val="128"/>
    </font>
    <font>
      <u/>
      <sz val="10"/>
      <color indexed="12"/>
      <name val="Tahoma"/>
      <charset val="128"/>
    </font>
    <font>
      <b/>
      <sz val="22"/>
      <color indexed="10"/>
      <name val="Tahoma"/>
      <charset val="128"/>
    </font>
    <font>
      <b/>
      <sz val="26"/>
      <color indexed="10"/>
      <name val="Tahoma"/>
      <charset val="128"/>
    </font>
    <font>
      <u/>
      <sz val="11"/>
      <color indexed="12"/>
      <name val="ＭＳ Ｐゴシック"/>
      <charset val="128"/>
    </font>
    <font>
      <sz val="9"/>
      <name val="ＭＳ ゴシック"/>
      <charset val="128"/>
    </font>
    <font>
      <b/>
      <sz val="10"/>
      <color indexed="8"/>
      <name val="Times New Roman"/>
      <charset val="134"/>
    </font>
    <font>
      <sz val="10"/>
      <color indexed="8"/>
      <name val="Times New Roman"/>
      <charset val="134"/>
    </font>
    <font>
      <sz val="11"/>
      <name val="ＭＳ Ｐゴシック"/>
      <charset val="128"/>
    </font>
    <font>
      <sz val="10"/>
      <name val="Tahoma"/>
      <family val="2"/>
      <charset val="128"/>
    </font>
    <font>
      <sz val="10"/>
      <color indexed="10"/>
      <name val="Tahoma"/>
      <family val="2"/>
      <charset val="128"/>
    </font>
    <font>
      <sz val="11"/>
      <color rgb="FF1F1F1F"/>
      <name val="Arial"/>
      <family val="2"/>
    </font>
    <font>
      <b/>
      <sz val="11"/>
      <color rgb="FF1F1F1F"/>
      <name val="Arial"/>
      <family val="2"/>
    </font>
    <font>
      <sz val="11"/>
      <color rgb="FF444746"/>
      <name val="Arial"/>
      <family val="2"/>
    </font>
    <font>
      <sz val="10"/>
      <color indexed="8"/>
      <name val="Tahoma"/>
      <family val="2"/>
      <charset val="128"/>
    </font>
    <font>
      <b/>
      <sz val="10"/>
      <color indexed="10"/>
      <name val="Tahoma"/>
      <family val="2"/>
      <charset val="128"/>
    </font>
    <font>
      <b/>
      <sz val="10"/>
      <name val="Tahoma"/>
      <family val="2"/>
      <charset val="128"/>
    </font>
    <font>
      <sz val="11"/>
      <color indexed="63"/>
      <name val="Arial"/>
      <family val="2"/>
    </font>
    <font>
      <b/>
      <sz val="10"/>
      <color indexed="9"/>
      <name val="Tahoma"/>
      <family val="2"/>
      <charset val="128"/>
    </font>
    <font>
      <b/>
      <sz val="10"/>
      <color indexed="8"/>
      <name val="Tahoma"/>
      <family val="2"/>
      <charset val="128"/>
    </font>
    <font>
      <i/>
      <sz val="10"/>
      <color indexed="17"/>
      <name val="Tahoma"/>
      <family val="2"/>
      <charset val="128"/>
    </font>
  </fonts>
  <fills count="8">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theme="0"/>
        <bgColor indexed="26"/>
      </patternFill>
    </fill>
    <fill>
      <patternFill patternType="solid">
        <fgColor theme="0"/>
        <bgColor indexed="41"/>
      </patternFill>
    </fill>
    <fill>
      <patternFill patternType="solid">
        <fgColor theme="0"/>
        <bgColor indexed="64"/>
      </patternFill>
    </fill>
    <fill>
      <patternFill patternType="solid">
        <fgColor indexed="62"/>
        <bgColor indexed="56"/>
      </patternFill>
    </fill>
  </fills>
  <borders count="50">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right/>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medium">
        <color indexed="8"/>
      </right>
      <top/>
      <bottom style="thin">
        <color indexed="8"/>
      </bottom>
      <diagonal/>
    </border>
    <border>
      <left style="thin">
        <color indexed="8"/>
      </left>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8"/>
      </left>
      <right style="thin">
        <color indexed="8"/>
      </right>
      <top style="thin">
        <color indexed="8"/>
      </top>
      <bottom/>
      <diagonal/>
    </border>
    <border>
      <left style="thin">
        <color auto="1"/>
      </left>
      <right style="thin">
        <color auto="1"/>
      </right>
      <top style="thin">
        <color auto="1"/>
      </top>
      <bottom style="thin">
        <color auto="1"/>
      </bottom>
      <diagonal/>
    </border>
    <border>
      <left/>
      <right style="thin">
        <color auto="1"/>
      </right>
      <top style="thin">
        <color indexed="8"/>
      </top>
      <bottom style="thin">
        <color auto="1"/>
      </bottom>
      <diagonal/>
    </border>
    <border>
      <left style="thin">
        <color auto="1"/>
      </left>
      <right style="thin">
        <color auto="1"/>
      </right>
      <top style="thin">
        <color indexed="8"/>
      </top>
      <bottom style="thin">
        <color auto="1"/>
      </bottom>
      <diagonal/>
    </border>
    <border>
      <left style="thin">
        <color auto="1"/>
      </left>
      <right style="thin">
        <color indexed="0"/>
      </right>
      <top style="thin">
        <color indexed="8"/>
      </top>
      <bottom style="thin">
        <color auto="1"/>
      </bottom>
      <diagonal/>
    </border>
    <border>
      <left style="thin">
        <color auto="1"/>
      </left>
      <right style="thin">
        <color auto="1"/>
      </right>
      <top style="thin">
        <color auto="1"/>
      </top>
      <bottom style="thin">
        <color indexed="8"/>
      </bottom>
      <diagonal/>
    </border>
    <border>
      <left/>
      <right style="thin">
        <color auto="1"/>
      </right>
      <top style="thin">
        <color auto="1"/>
      </top>
      <bottom style="thin">
        <color indexed="8"/>
      </bottom>
      <diagonal/>
    </border>
    <border>
      <left style="thin">
        <color auto="1"/>
      </left>
      <right style="thin">
        <color indexed="0"/>
      </right>
      <top style="thin">
        <color auto="1"/>
      </top>
      <bottom style="thin">
        <color indexed="8"/>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right style="thin">
        <color theme="0"/>
      </right>
      <top/>
      <bottom/>
      <diagonal/>
    </border>
    <border>
      <left style="thin">
        <color theme="0"/>
      </left>
      <right style="thin">
        <color theme="0"/>
      </right>
      <top/>
      <bottom/>
      <diagonal/>
    </border>
    <border>
      <left/>
      <right style="thin">
        <color theme="0"/>
      </right>
      <top/>
      <bottom style="thin">
        <color theme="0"/>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64"/>
      </left>
      <right style="thin">
        <color indexed="8"/>
      </right>
      <top style="thin">
        <color indexed="64"/>
      </top>
      <bottom style="thin">
        <color indexed="8"/>
      </bottom>
      <diagonal/>
    </border>
    <border>
      <left style="thin">
        <color indexed="64"/>
      </left>
      <right style="thin">
        <color indexed="64"/>
      </right>
      <top style="thin">
        <color indexed="64"/>
      </top>
      <bottom style="thin">
        <color indexed="8"/>
      </bottom>
      <diagonal/>
    </border>
    <border>
      <left style="thin">
        <color indexed="64"/>
      </left>
      <right style="thin">
        <color indexed="8"/>
      </right>
      <top style="thin">
        <color indexed="8"/>
      </top>
      <bottom style="thin">
        <color indexed="64"/>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s>
  <cellStyleXfs count="7">
    <xf numFmtId="0" fontId="0" fillId="0" borderId="0"/>
    <xf numFmtId="0" fontId="28" fillId="0" borderId="0" applyNumberFormat="0" applyFill="0" applyBorder="0" applyAlignment="0" applyProtection="0"/>
    <xf numFmtId="0" fontId="32" fillId="0" borderId="0"/>
    <xf numFmtId="0" fontId="32" fillId="0" borderId="0"/>
    <xf numFmtId="0" fontId="29" fillId="0" borderId="0"/>
    <xf numFmtId="0" fontId="21" fillId="0" borderId="0"/>
    <xf numFmtId="0" fontId="21" fillId="0" borderId="0"/>
  </cellStyleXfs>
  <cellXfs count="276">
    <xf numFmtId="0" fontId="0" fillId="0" borderId="0" xfId="0"/>
    <xf numFmtId="0" fontId="1" fillId="2" borderId="0" xfId="0" applyFont="1" applyFill="1"/>
    <xf numFmtId="0" fontId="3" fillId="2" borderId="0" xfId="2" applyFont="1" applyFill="1" applyBorder="1"/>
    <xf numFmtId="0" fontId="1" fillId="2" borderId="0" xfId="2" applyFont="1" applyFill="1" applyBorder="1"/>
    <xf numFmtId="164" fontId="1" fillId="2" borderId="0" xfId="2" applyNumberFormat="1" applyFont="1" applyFill="1" applyBorder="1"/>
    <xf numFmtId="0" fontId="4" fillId="2" borderId="1" xfId="0" applyFont="1" applyFill="1" applyBorder="1" applyAlignment="1">
      <alignment horizontal="left" vertical="center"/>
    </xf>
    <xf numFmtId="0" fontId="4" fillId="2" borderId="1" xfId="0" applyFont="1" applyFill="1" applyBorder="1" applyAlignment="1">
      <alignment horizontal="left"/>
    </xf>
    <xf numFmtId="0" fontId="4" fillId="2" borderId="2" xfId="0" applyFont="1" applyFill="1" applyBorder="1" applyAlignment="1">
      <alignment horizontal="left"/>
    </xf>
    <xf numFmtId="0" fontId="1" fillId="2" borderId="2" xfId="0" applyFont="1" applyFill="1" applyBorder="1" applyAlignment="1">
      <alignment vertical="top"/>
    </xf>
    <xf numFmtId="0" fontId="4" fillId="2" borderId="1" xfId="0" applyFont="1" applyFill="1" applyBorder="1" applyAlignment="1">
      <alignment vertical="center"/>
    </xf>
    <xf numFmtId="0" fontId="5" fillId="2" borderId="2" xfId="0" applyFont="1" applyFill="1" applyBorder="1" applyAlignment="1">
      <alignment vertical="top"/>
    </xf>
    <xf numFmtId="0" fontId="4" fillId="2" borderId="0" xfId="0" applyFont="1" applyFill="1"/>
    <xf numFmtId="0" fontId="5" fillId="2" borderId="0" xfId="2" applyFont="1" applyFill="1" applyBorder="1"/>
    <xf numFmtId="0" fontId="1" fillId="2" borderId="0" xfId="0" applyFont="1" applyFill="1" applyBorder="1"/>
    <xf numFmtId="0" fontId="1" fillId="2" borderId="3" xfId="0" applyFont="1" applyFill="1" applyBorder="1" applyAlignment="1"/>
    <xf numFmtId="0" fontId="6" fillId="3" borderId="4" xfId="0" applyNumberFormat="1" applyFont="1" applyFill="1" applyBorder="1" applyAlignment="1">
      <alignment horizontal="center"/>
    </xf>
    <xf numFmtId="0" fontId="6" fillId="3" borderId="5" xfId="0" applyNumberFormat="1" applyFont="1" applyFill="1" applyBorder="1" applyAlignment="1">
      <alignment horizontal="center"/>
    </xf>
    <xf numFmtId="0" fontId="6" fillId="3" borderId="5" xfId="0" applyNumberFormat="1" applyFont="1" applyFill="1" applyBorder="1" applyAlignment="1">
      <alignment horizontal="center" wrapText="1"/>
    </xf>
    <xf numFmtId="0" fontId="6" fillId="3" borderId="6" xfId="0" applyNumberFormat="1" applyFont="1" applyFill="1" applyBorder="1" applyAlignment="1">
      <alignment horizontal="center"/>
    </xf>
    <xf numFmtId="0" fontId="6" fillId="3" borderId="7" xfId="0" applyNumberFormat="1" applyFont="1" applyFill="1" applyBorder="1" applyAlignment="1">
      <alignment horizontal="center" wrapText="1"/>
    </xf>
    <xf numFmtId="0" fontId="1" fillId="2" borderId="3" xfId="0" applyFont="1" applyFill="1" applyBorder="1"/>
    <xf numFmtId="0" fontId="1" fillId="2" borderId="8" xfId="0" applyNumberFormat="1" applyFont="1" applyFill="1" applyBorder="1" applyAlignment="1">
      <alignment horizontal="center"/>
    </xf>
    <xf numFmtId="0" fontId="1" fillId="2" borderId="9" xfId="0" applyNumberFormat="1" applyFont="1" applyFill="1" applyBorder="1"/>
    <xf numFmtId="0" fontId="1" fillId="2" borderId="9" xfId="0" applyNumberFormat="1" applyFont="1" applyFill="1" applyBorder="1" applyAlignment="1">
      <alignment horizontal="center"/>
    </xf>
    <xf numFmtId="0" fontId="7" fillId="3" borderId="10" xfId="0" applyNumberFormat="1" applyFont="1" applyFill="1" applyBorder="1" applyAlignment="1">
      <alignment horizontal="center"/>
    </xf>
    <xf numFmtId="0" fontId="6" fillId="3" borderId="11" xfId="0" applyFont="1" applyFill="1" applyBorder="1"/>
    <xf numFmtId="0" fontId="7" fillId="3" borderId="11" xfId="0" applyNumberFormat="1" applyFont="1" applyFill="1" applyBorder="1" applyAlignment="1">
      <alignment horizontal="center"/>
    </xf>
    <xf numFmtId="0" fontId="7" fillId="3" borderId="11" xfId="0" applyFont="1" applyFill="1" applyBorder="1" applyAlignment="1">
      <alignment horizontal="center"/>
    </xf>
    <xf numFmtId="0" fontId="7" fillId="3" borderId="12" xfId="0" applyFont="1" applyFill="1" applyBorder="1" applyAlignment="1">
      <alignment horizontal="center"/>
    </xf>
    <xf numFmtId="0" fontId="1" fillId="2" borderId="0" xfId="0" applyFont="1" applyFill="1" applyBorder="1" applyAlignment="1">
      <alignment horizontal="center"/>
    </xf>
    <xf numFmtId="10" fontId="1" fillId="2" borderId="0" xfId="0" applyNumberFormat="1" applyFont="1" applyFill="1" applyBorder="1" applyAlignment="1">
      <alignment horizontal="center"/>
    </xf>
    <xf numFmtId="9" fontId="1" fillId="2" borderId="0" xfId="0" applyNumberFormat="1" applyFont="1" applyFill="1" applyBorder="1" applyAlignment="1">
      <alignment horizontal="center"/>
    </xf>
    <xf numFmtId="0" fontId="4" fillId="2" borderId="0" xfId="0" applyFont="1" applyFill="1" applyBorder="1" applyAlignment="1">
      <alignment horizontal="left"/>
    </xf>
    <xf numFmtId="2" fontId="8" fillId="2" borderId="0" xfId="0" applyNumberFormat="1" applyFont="1" applyFill="1" applyBorder="1" applyAlignment="1">
      <alignment horizontal="right" wrapText="1"/>
    </xf>
    <xf numFmtId="0" fontId="9" fillId="2" borderId="0" xfId="0" applyFont="1" applyFill="1" applyBorder="1" applyAlignment="1">
      <alignment horizontal="center" wrapText="1"/>
    </xf>
    <xf numFmtId="0" fontId="10" fillId="2" borderId="0" xfId="0" applyFont="1" applyFill="1" applyBorder="1" applyAlignment="1"/>
    <xf numFmtId="0" fontId="10" fillId="2" borderId="0" xfId="0" applyFont="1" applyFill="1" applyBorder="1" applyAlignment="1">
      <alignment vertical="top"/>
    </xf>
    <xf numFmtId="0" fontId="11" fillId="2" borderId="0" xfId="0" applyFont="1" applyFill="1" applyBorder="1" applyAlignment="1"/>
    <xf numFmtId="0" fontId="12" fillId="2" borderId="0" xfId="0" applyFont="1" applyFill="1" applyBorder="1" applyAlignment="1"/>
    <xf numFmtId="0" fontId="10" fillId="2" borderId="13" xfId="0" applyFont="1" applyFill="1" applyBorder="1" applyAlignment="1"/>
    <xf numFmtId="0" fontId="10" fillId="2" borderId="13" xfId="0" applyFont="1" applyFill="1" applyBorder="1" applyAlignment="1">
      <alignment wrapText="1"/>
    </xf>
    <xf numFmtId="0" fontId="11" fillId="2" borderId="13" xfId="0" applyFont="1" applyFill="1" applyBorder="1" applyAlignment="1">
      <alignment wrapText="1"/>
    </xf>
    <xf numFmtId="0" fontId="13" fillId="2" borderId="0" xfId="0" applyFont="1" applyFill="1" applyBorder="1" applyAlignment="1" applyProtection="1">
      <alignment wrapText="1"/>
    </xf>
    <xf numFmtId="0" fontId="11" fillId="2" borderId="0" xfId="0" applyFont="1" applyFill="1" applyBorder="1" applyAlignment="1">
      <alignment wrapText="1"/>
    </xf>
    <xf numFmtId="0" fontId="13" fillId="2" borderId="14" xfId="3" applyFont="1" applyFill="1" applyBorder="1" applyAlignment="1">
      <alignment horizontal="left" wrapText="1"/>
    </xf>
    <xf numFmtId="0" fontId="11" fillId="2" borderId="0" xfId="0" applyFont="1" applyFill="1" applyBorder="1" applyAlignment="1" applyProtection="1">
      <alignment wrapText="1"/>
    </xf>
    <xf numFmtId="0" fontId="13" fillId="2" borderId="16" xfId="3" applyFont="1" applyFill="1" applyBorder="1" applyAlignment="1">
      <alignment horizontal="left" wrapText="1"/>
    </xf>
    <xf numFmtId="0" fontId="15" fillId="2" borderId="16" xfId="0" applyFont="1" applyFill="1" applyBorder="1" applyAlignment="1">
      <alignment horizontal="center" vertical="center"/>
    </xf>
    <xf numFmtId="0" fontId="15" fillId="2" borderId="1" xfId="0" applyFont="1" applyFill="1" applyBorder="1" applyAlignment="1">
      <alignment horizontal="center" vertical="center" wrapText="1"/>
    </xf>
    <xf numFmtId="0" fontId="15" fillId="2" borderId="18" xfId="0" applyFont="1" applyFill="1" applyBorder="1" applyAlignment="1">
      <alignment horizontal="center" vertical="center" wrapText="1"/>
    </xf>
    <xf numFmtId="0" fontId="11" fillId="2" borderId="0" xfId="0" applyFont="1" applyFill="1" applyBorder="1" applyAlignment="1">
      <alignment horizontal="center" wrapText="1"/>
    </xf>
    <xf numFmtId="0" fontId="10" fillId="2" borderId="19" xfId="0" applyFont="1" applyFill="1" applyBorder="1" applyAlignment="1">
      <alignment horizontal="center" vertical="center"/>
    </xf>
    <xf numFmtId="0" fontId="10" fillId="2" borderId="20" xfId="0" applyFont="1" applyFill="1" applyBorder="1" applyAlignment="1">
      <alignment horizontal="center" vertical="center"/>
    </xf>
    <xf numFmtId="0" fontId="10" fillId="2" borderId="21" xfId="0" applyFont="1" applyFill="1" applyBorder="1" applyAlignment="1">
      <alignment horizontal="center" vertical="center"/>
    </xf>
    <xf numFmtId="0" fontId="10" fillId="2" borderId="0" xfId="0" applyFont="1" applyFill="1" applyBorder="1" applyAlignment="1">
      <alignment horizontal="center" wrapText="1"/>
    </xf>
    <xf numFmtId="0" fontId="16" fillId="3" borderId="23" xfId="3" applyFont="1" applyFill="1" applyBorder="1" applyAlignment="1">
      <alignment horizontal="center" vertical="center" wrapText="1"/>
    </xf>
    <xf numFmtId="0" fontId="16" fillId="3" borderId="23" xfId="3" applyFont="1" applyFill="1" applyBorder="1" applyAlignment="1">
      <alignment horizontal="center" vertical="center" wrapText="1"/>
    </xf>
    <xf numFmtId="0" fontId="16" fillId="3" borderId="1" xfId="3" applyFont="1" applyFill="1" applyBorder="1" applyAlignment="1">
      <alignment horizontal="center" vertical="center" wrapText="1"/>
    </xf>
    <xf numFmtId="0" fontId="17" fillId="0" borderId="24" xfId="0" applyFont="1" applyFill="1" applyBorder="1" applyAlignment="1">
      <alignment horizontal="left" vertical="center" wrapText="1" readingOrder="1"/>
    </xf>
    <xf numFmtId="0" fontId="18" fillId="2" borderId="2" xfId="3" applyFont="1" applyFill="1" applyBorder="1" applyAlignment="1">
      <alignment horizontal="left" vertical="center" wrapText="1"/>
    </xf>
    <xf numFmtId="0" fontId="18" fillId="2" borderId="1" xfId="0" applyFont="1" applyFill="1" applyBorder="1" applyAlignment="1">
      <alignment horizontal="left" vertical="center" wrapText="1"/>
    </xf>
    <xf numFmtId="0" fontId="18" fillId="2" borderId="1" xfId="0" applyFont="1" applyFill="1" applyBorder="1" applyAlignment="1">
      <alignment vertical="center" wrapText="1"/>
    </xf>
    <xf numFmtId="0" fontId="11" fillId="2" borderId="2" xfId="3" applyFont="1" applyFill="1" applyBorder="1" applyAlignment="1">
      <alignment horizontal="left" vertical="center" wrapText="1"/>
    </xf>
    <xf numFmtId="0" fontId="11" fillId="2" borderId="1" xfId="3" applyFont="1" applyFill="1" applyBorder="1" applyAlignment="1">
      <alignment vertical="top" wrapText="1"/>
    </xf>
    <xf numFmtId="0" fontId="11" fillId="2" borderId="1" xfId="0" applyFont="1" applyFill="1" applyBorder="1" applyAlignment="1">
      <alignment vertical="top" wrapText="1"/>
    </xf>
    <xf numFmtId="0" fontId="11" fillId="4" borderId="25" xfId="3" applyFont="1" applyFill="1" applyBorder="1" applyAlignment="1">
      <alignment horizontal="left" vertical="center" wrapText="1"/>
    </xf>
    <xf numFmtId="0" fontId="11" fillId="4" borderId="26" xfId="0" applyFont="1" applyFill="1" applyBorder="1" applyAlignment="1"/>
    <xf numFmtId="0" fontId="11" fillId="4" borderId="27" xfId="0" applyFont="1" applyFill="1" applyBorder="1" applyAlignment="1"/>
    <xf numFmtId="0" fontId="17" fillId="0" borderId="28" xfId="0" applyFont="1" applyFill="1" applyBorder="1" applyAlignment="1">
      <alignment horizontal="left" vertical="center" wrapText="1" readingOrder="1"/>
    </xf>
    <xf numFmtId="0" fontId="11" fillId="5" borderId="29" xfId="3" applyFont="1" applyFill="1" applyBorder="1" applyAlignment="1">
      <alignment horizontal="left" vertical="center"/>
    </xf>
    <xf numFmtId="0" fontId="13" fillId="5" borderId="28" xfId="3" applyFont="1" applyFill="1" applyBorder="1" applyAlignment="1">
      <alignment horizontal="left" vertical="center"/>
    </xf>
    <xf numFmtId="0" fontId="13" fillId="5" borderId="30" xfId="3" applyFont="1" applyFill="1" applyBorder="1" applyAlignment="1">
      <alignment horizontal="left" vertical="center"/>
    </xf>
    <xf numFmtId="0" fontId="11" fillId="4" borderId="0" xfId="3" applyFont="1" applyFill="1" applyBorder="1" applyAlignment="1">
      <alignment vertical="top" wrapText="1"/>
    </xf>
    <xf numFmtId="0" fontId="11" fillId="4" borderId="0" xfId="0" applyFont="1" applyFill="1" applyBorder="1" applyAlignment="1">
      <alignment vertical="top" wrapText="1"/>
    </xf>
    <xf numFmtId="0" fontId="11" fillId="2" borderId="31" xfId="0" applyFont="1" applyFill="1" applyBorder="1" applyAlignment="1"/>
    <xf numFmtId="0" fontId="11" fillId="2" borderId="32" xfId="0" applyFont="1" applyFill="1" applyBorder="1" applyAlignment="1"/>
    <xf numFmtId="0" fontId="11" fillId="2" borderId="0" xfId="0" applyFont="1" applyFill="1" applyBorder="1" applyAlignment="1"/>
    <xf numFmtId="0" fontId="11" fillId="2" borderId="0" xfId="0" applyFont="1" applyFill="1" applyBorder="1" applyAlignment="1"/>
    <xf numFmtId="0" fontId="11" fillId="2" borderId="0" xfId="0" applyFont="1" applyFill="1" applyBorder="1" applyAlignment="1"/>
    <xf numFmtId="0" fontId="11" fillId="2" borderId="0" xfId="0" applyFont="1" applyFill="1" applyBorder="1" applyAlignment="1"/>
    <xf numFmtId="0" fontId="11" fillId="2" borderId="33" xfId="0" applyFont="1" applyFill="1" applyBorder="1" applyAlignment="1"/>
    <xf numFmtId="0" fontId="11" fillId="6" borderId="34" xfId="0" applyFont="1" applyFill="1" applyBorder="1" applyAlignment="1"/>
    <xf numFmtId="0" fontId="11" fillId="6" borderId="35" xfId="0" applyFont="1" applyFill="1" applyBorder="1" applyAlignment="1"/>
    <xf numFmtId="0" fontId="11" fillId="6" borderId="0" xfId="0" applyFont="1" applyFill="1" applyBorder="1" applyAlignment="1"/>
    <xf numFmtId="0" fontId="11" fillId="6" borderId="0" xfId="0" applyFont="1" applyFill="1" applyBorder="1" applyAlignment="1"/>
    <xf numFmtId="0" fontId="11" fillId="6" borderId="0" xfId="0" applyFont="1" applyFill="1" applyBorder="1" applyAlignment="1"/>
    <xf numFmtId="0" fontId="11" fillId="6" borderId="0" xfId="0" applyFont="1" applyFill="1" applyBorder="1" applyAlignment="1"/>
    <xf numFmtId="0" fontId="11" fillId="2" borderId="36" xfId="0" applyFont="1" applyFill="1" applyBorder="1" applyAlignment="1"/>
    <xf numFmtId="0" fontId="19" fillId="6" borderId="37" xfId="0" applyFont="1" applyFill="1" applyBorder="1" applyAlignment="1">
      <alignment wrapText="1" readingOrder="1"/>
    </xf>
    <xf numFmtId="0" fontId="19" fillId="6" borderId="32" xfId="0" applyFont="1" applyFill="1" applyBorder="1" applyAlignment="1">
      <alignment wrapText="1" readingOrder="1"/>
    </xf>
    <xf numFmtId="0" fontId="19" fillId="6" borderId="0" xfId="0" applyFont="1" applyFill="1" applyBorder="1" applyAlignment="1">
      <alignment wrapText="1" readingOrder="1"/>
    </xf>
    <xf numFmtId="0" fontId="11" fillId="6" borderId="0" xfId="0" applyFont="1" applyFill="1" applyBorder="1" applyAlignment="1"/>
    <xf numFmtId="0" fontId="19" fillId="6" borderId="0" xfId="0" applyFont="1" applyFill="1" applyBorder="1" applyAlignment="1">
      <alignment wrapText="1" readingOrder="1"/>
    </xf>
    <xf numFmtId="0" fontId="11" fillId="6" borderId="0" xfId="0" applyFont="1" applyFill="1" applyBorder="1" applyAlignment="1"/>
    <xf numFmtId="0" fontId="19" fillId="6" borderId="0" xfId="0" applyFont="1" applyFill="1" applyBorder="1" applyAlignment="1">
      <alignment wrapText="1" readingOrder="1"/>
    </xf>
    <xf numFmtId="0" fontId="17" fillId="6" borderId="0" xfId="0" applyFont="1" applyFill="1" applyBorder="1" applyAlignment="1">
      <alignment wrapText="1" readingOrder="1"/>
    </xf>
    <xf numFmtId="0" fontId="20" fillId="6" borderId="0" xfId="0" applyFont="1" applyFill="1" applyBorder="1" applyAlignment="1">
      <alignment wrapText="1" readingOrder="1"/>
    </xf>
    <xf numFmtId="0" fontId="11" fillId="2" borderId="0" xfId="0" applyFont="1" applyFill="1" applyBorder="1" applyAlignment="1"/>
    <xf numFmtId="0" fontId="21" fillId="6" borderId="0" xfId="0" applyFont="1" applyFill="1" applyBorder="1" applyAlignment="1"/>
    <xf numFmtId="0" fontId="19" fillId="6" borderId="0" xfId="0" applyFont="1" applyFill="1" applyBorder="1" applyAlignment="1">
      <alignment wrapText="1" readingOrder="1"/>
    </xf>
    <xf numFmtId="0" fontId="19" fillId="6" borderId="0" xfId="0" applyFont="1" applyFill="1" applyBorder="1" applyAlignment="1">
      <alignment wrapText="1" readingOrder="1"/>
    </xf>
    <xf numFmtId="0" fontId="17" fillId="6" borderId="0" xfId="0" applyFont="1" applyFill="1" applyBorder="1" applyAlignment="1">
      <alignment wrapText="1" readingOrder="1"/>
    </xf>
    <xf numFmtId="0" fontId="21" fillId="6" borderId="0" xfId="0" applyFont="1" applyFill="1" applyBorder="1" applyAlignment="1"/>
    <xf numFmtId="0" fontId="11" fillId="6" borderId="0" xfId="0" applyFont="1" applyFill="1" applyBorder="1" applyAlignment="1"/>
    <xf numFmtId="0" fontId="11" fillId="6" borderId="0" xfId="0" applyFont="1" applyFill="1" applyBorder="1" applyAlignment="1"/>
    <xf numFmtId="0" fontId="11" fillId="2" borderId="0" xfId="0" applyFont="1" applyFill="1" applyBorder="1" applyAlignment="1"/>
    <xf numFmtId="0" fontId="19" fillId="6" borderId="0" xfId="0" applyFont="1" applyFill="1" applyBorder="1" applyAlignment="1">
      <alignment wrapText="1" readingOrder="1"/>
    </xf>
    <xf numFmtId="0" fontId="19" fillId="6" borderId="0" xfId="0" applyFont="1" applyFill="1" applyBorder="1" applyAlignment="1">
      <alignment wrapText="1" readingOrder="1"/>
    </xf>
    <xf numFmtId="0" fontId="17" fillId="6" borderId="0" xfId="0" applyFont="1" applyFill="1" applyBorder="1" applyAlignment="1">
      <alignment wrapText="1" readingOrder="1"/>
    </xf>
    <xf numFmtId="0" fontId="11" fillId="6" borderId="0" xfId="0" applyFont="1" applyFill="1" applyBorder="1" applyAlignment="1"/>
    <xf numFmtId="0" fontId="11" fillId="2" borderId="38" xfId="0" applyFont="1" applyFill="1" applyBorder="1" applyAlignment="1"/>
    <xf numFmtId="0" fontId="11" fillId="6" borderId="0" xfId="0" applyFont="1" applyFill="1" applyBorder="1" applyAlignment="1"/>
    <xf numFmtId="0" fontId="11" fillId="2" borderId="0" xfId="0" applyFont="1" applyFill="1" applyBorder="1" applyAlignment="1"/>
    <xf numFmtId="0" fontId="12" fillId="2" borderId="0" xfId="0" applyFont="1" applyFill="1" applyBorder="1" applyAlignment="1">
      <alignment wrapText="1"/>
    </xf>
    <xf numFmtId="0" fontId="15" fillId="2" borderId="0" xfId="0" applyFont="1" applyFill="1" applyBorder="1" applyAlignment="1"/>
    <xf numFmtId="0" fontId="12" fillId="2" borderId="0" xfId="0" applyFont="1" applyFill="1" applyBorder="1" applyAlignment="1">
      <alignment horizontal="center" wrapText="1"/>
    </xf>
    <xf numFmtId="0" fontId="22" fillId="2" borderId="0" xfId="3" applyFont="1" applyFill="1" applyBorder="1" applyAlignment="1">
      <alignment horizontal="center" vertical="center" wrapText="1"/>
    </xf>
    <xf numFmtId="0" fontId="12" fillId="2" borderId="0" xfId="0" applyFont="1" applyFill="1" applyBorder="1" applyAlignment="1">
      <alignment vertical="top" wrapText="1"/>
    </xf>
    <xf numFmtId="0" fontId="19" fillId="6" borderId="0" xfId="0" applyFont="1" applyFill="1" applyBorder="1" applyAlignment="1">
      <alignment wrapText="1" readingOrder="1"/>
    </xf>
    <xf numFmtId="0" fontId="10" fillId="4" borderId="0" xfId="0" applyFont="1" applyFill="1" applyBorder="1" applyAlignment="1">
      <alignment vertical="top"/>
    </xf>
    <xf numFmtId="0" fontId="10" fillId="4" borderId="0" xfId="0" applyFont="1" applyFill="1" applyBorder="1" applyAlignment="1">
      <alignment vertical="top"/>
    </xf>
    <xf numFmtId="0" fontId="19" fillId="6" borderId="0" xfId="0" applyFont="1" applyFill="1" applyBorder="1" applyAlignment="1">
      <alignment wrapText="1" readingOrder="1"/>
    </xf>
    <xf numFmtId="0" fontId="19" fillId="6" borderId="0" xfId="0" applyFont="1" applyFill="1" applyBorder="1" applyAlignment="1">
      <alignment wrapText="1" readingOrder="1"/>
    </xf>
    <xf numFmtId="0" fontId="17" fillId="6" borderId="0" xfId="0" applyFont="1" applyFill="1" applyBorder="1" applyAlignment="1">
      <alignment wrapText="1" readingOrder="1"/>
    </xf>
    <xf numFmtId="0" fontId="17" fillId="6" borderId="0" xfId="0" applyFont="1" applyFill="1" applyBorder="1" applyAlignment="1">
      <alignment wrapText="1" readingOrder="1"/>
    </xf>
    <xf numFmtId="0" fontId="22" fillId="2" borderId="0" xfId="3" applyFont="1" applyFill="1" applyBorder="1" applyAlignment="1">
      <alignment horizontal="left" vertical="center"/>
    </xf>
    <xf numFmtId="0" fontId="19" fillId="6" borderId="0" xfId="0" applyFont="1" applyFill="1" applyBorder="1" applyAlignment="1">
      <alignment wrapText="1" readingOrder="1"/>
    </xf>
    <xf numFmtId="0" fontId="19" fillId="6" borderId="0" xfId="0" applyFont="1" applyFill="1" applyBorder="1" applyAlignment="1">
      <alignment wrapText="1" readingOrder="1"/>
    </xf>
    <xf numFmtId="0" fontId="17" fillId="6" borderId="0" xfId="0" applyFont="1" applyFill="1" applyBorder="1" applyAlignment="1">
      <alignment wrapText="1" readingOrder="1"/>
    </xf>
    <xf numFmtId="0" fontId="12" fillId="2" borderId="0" xfId="0" applyFont="1" applyFill="1" applyBorder="1" applyAlignment="1"/>
    <xf numFmtId="0" fontId="11" fillId="4" borderId="0" xfId="0" applyFont="1" applyFill="1" applyBorder="1" applyAlignment="1"/>
    <xf numFmtId="0" fontId="12" fillId="2" borderId="0" xfId="0" applyFont="1" applyFill="1" applyBorder="1" applyAlignment="1"/>
    <xf numFmtId="0" fontId="10" fillId="2" borderId="0" xfId="0" applyFont="1" applyFill="1" applyBorder="1" applyAlignment="1"/>
    <xf numFmtId="0" fontId="1" fillId="2" borderId="0" xfId="0" applyFont="1" applyFill="1" applyAlignment="1">
      <alignment wrapText="1"/>
    </xf>
    <xf numFmtId="0" fontId="1" fillId="2" borderId="0" xfId="0" applyFont="1" applyFill="1" applyAlignment="1">
      <alignment vertical="center"/>
    </xf>
    <xf numFmtId="0" fontId="3" fillId="2" borderId="0" xfId="0" applyFont="1" applyFill="1" applyAlignment="1">
      <alignment horizontal="center"/>
    </xf>
    <xf numFmtId="1" fontId="1" fillId="2" borderId="0" xfId="0" applyNumberFormat="1" applyFont="1" applyFill="1"/>
    <xf numFmtId="0" fontId="1" fillId="2" borderId="0" xfId="0" applyFont="1" applyFill="1" applyAlignment="1">
      <alignment horizontal="left"/>
    </xf>
    <xf numFmtId="1" fontId="1" fillId="2" borderId="0" xfId="0" applyNumberFormat="1" applyFont="1" applyFill="1" applyProtection="1">
      <protection hidden="1"/>
    </xf>
    <xf numFmtId="0" fontId="2" fillId="2" borderId="0" xfId="0" applyFont="1" applyFill="1" applyAlignment="1">
      <alignment horizontal="left"/>
    </xf>
    <xf numFmtId="0" fontId="23" fillId="2" borderId="0" xfId="0" applyFont="1" applyFill="1" applyAlignment="1">
      <alignment horizontal="left"/>
    </xf>
    <xf numFmtId="0" fontId="24" fillId="2" borderId="0" xfId="0" applyFont="1" applyFill="1" applyAlignment="1">
      <alignment horizontal="left"/>
    </xf>
    <xf numFmtId="1" fontId="4" fillId="2" borderId="0" xfId="0" applyNumberFormat="1" applyFont="1" applyFill="1" applyBorder="1" applyAlignment="1"/>
    <xf numFmtId="0" fontId="1" fillId="4" borderId="0" xfId="0" applyFont="1" applyFill="1" applyBorder="1" applyAlignment="1"/>
    <xf numFmtId="1" fontId="1" fillId="2" borderId="0" xfId="0" applyNumberFormat="1" applyFont="1" applyFill="1" applyAlignment="1" applyProtection="1">
      <alignment vertical="center"/>
      <protection hidden="1"/>
    </xf>
    <xf numFmtId="0" fontId="1" fillId="2" borderId="0" xfId="0" applyFont="1" applyFill="1" applyAlignment="1">
      <alignment horizontal="left" vertical="center"/>
    </xf>
    <xf numFmtId="1" fontId="6" fillId="7" borderId="39" xfId="0" applyNumberFormat="1" applyFont="1" applyFill="1" applyBorder="1" applyAlignment="1">
      <alignment horizontal="center" vertical="center"/>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40" xfId="0" applyFont="1" applyFill="1" applyBorder="1" applyAlignment="1">
      <alignment horizontal="center" vertical="center"/>
    </xf>
    <xf numFmtId="1" fontId="1" fillId="2" borderId="41" xfId="0" applyNumberFormat="1" applyFont="1" applyFill="1" applyBorder="1" applyAlignment="1">
      <alignment vertical="center"/>
    </xf>
    <xf numFmtId="49" fontId="1" fillId="2" borderId="9" xfId="0" applyNumberFormat="1" applyFont="1" applyFill="1" applyBorder="1" applyAlignment="1">
      <alignment horizontal="left" vertical="center"/>
    </xf>
    <xf numFmtId="0" fontId="25" fillId="2" borderId="9" xfId="1" applyNumberFormat="1" applyFont="1" applyFill="1" applyBorder="1" applyAlignment="1" applyProtection="1">
      <alignment horizontal="left" vertical="center"/>
    </xf>
    <xf numFmtId="0" fontId="1" fillId="2" borderId="42" xfId="0" applyFont="1" applyFill="1" applyBorder="1" applyAlignment="1">
      <alignment horizontal="left" vertical="center"/>
    </xf>
    <xf numFmtId="0" fontId="1" fillId="2" borderId="9" xfId="0" applyFont="1" applyFill="1" applyBorder="1" applyAlignment="1">
      <alignment horizontal="left" vertical="center"/>
    </xf>
    <xf numFmtId="1" fontId="1" fillId="2" borderId="43" xfId="0" applyNumberFormat="1" applyFont="1" applyFill="1" applyBorder="1" applyAlignment="1">
      <alignment vertical="center"/>
    </xf>
    <xf numFmtId="49" fontId="1" fillId="2" borderId="11" xfId="0" applyNumberFormat="1" applyFont="1" applyFill="1" applyBorder="1" applyAlignment="1">
      <alignment horizontal="left" vertical="center"/>
    </xf>
    <xf numFmtId="0" fontId="1" fillId="2" borderId="11" xfId="0" applyFont="1" applyFill="1" applyBorder="1" applyAlignment="1">
      <alignment horizontal="left" vertical="center"/>
    </xf>
    <xf numFmtId="0" fontId="1" fillId="2" borderId="44" xfId="0"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vertical="top"/>
    </xf>
    <xf numFmtId="0" fontId="1" fillId="0" borderId="0" xfId="0" applyFont="1"/>
    <xf numFmtId="0" fontId="1" fillId="0" borderId="0" xfId="0" applyFont="1" applyAlignment="1">
      <alignment horizontal="left" indent="1"/>
    </xf>
    <xf numFmtId="0" fontId="26" fillId="2" borderId="0" xfId="0" applyFont="1" applyFill="1" applyAlignment="1">
      <alignment horizontal="center" vertical="center"/>
    </xf>
    <xf numFmtId="0" fontId="27" fillId="0" borderId="18" xfId="0" applyFont="1" applyBorder="1" applyAlignment="1">
      <alignment horizontal="center" vertical="center"/>
    </xf>
    <xf numFmtId="0" fontId="4" fillId="2" borderId="0" xfId="0" applyFont="1" applyFill="1" applyAlignment="1">
      <alignment horizontal="left" indent="1"/>
    </xf>
    <xf numFmtId="0" fontId="5" fillId="0" borderId="0" xfId="0" applyFont="1" applyAlignment="1">
      <alignment horizontal="left" indent="1"/>
    </xf>
    <xf numFmtId="0" fontId="1" fillId="0" borderId="2" xfId="0" applyFont="1" applyBorder="1" applyAlignment="1"/>
    <xf numFmtId="0" fontId="5" fillId="0" borderId="2" xfId="0" applyFont="1" applyBorder="1" applyAlignment="1">
      <alignment horizontal="left" indent="1"/>
    </xf>
    <xf numFmtId="0" fontId="4" fillId="2" borderId="0" xfId="0" applyFont="1" applyFill="1" applyBorder="1"/>
    <xf numFmtId="0" fontId="5" fillId="0" borderId="0" xfId="0" applyFont="1" applyBorder="1" applyAlignment="1">
      <alignment horizontal="left"/>
    </xf>
    <xf numFmtId="0" fontId="1" fillId="0" borderId="0" xfId="0" applyFont="1" applyBorder="1" applyAlignment="1"/>
    <xf numFmtId="0" fontId="4" fillId="2" borderId="0" xfId="0" applyFont="1" applyFill="1" applyBorder="1" applyAlignment="1">
      <alignment horizontal="left" indent="1"/>
    </xf>
    <xf numFmtId="0" fontId="5" fillId="0" borderId="0" xfId="0" applyFont="1" applyBorder="1" applyAlignment="1">
      <alignment horizontal="left" indent="1"/>
    </xf>
    <xf numFmtId="0" fontId="1" fillId="0" borderId="0" xfId="0" applyFont="1" applyBorder="1" applyAlignment="1">
      <alignment horizontal="left" indent="1"/>
    </xf>
    <xf numFmtId="0" fontId="1" fillId="0" borderId="0" xfId="0" applyFont="1" applyBorder="1"/>
    <xf numFmtId="0" fontId="4" fillId="0" borderId="0" xfId="0" applyFont="1" applyAlignment="1">
      <alignment horizontal="left"/>
    </xf>
    <xf numFmtId="164" fontId="6" fillId="3" borderId="39" xfId="0" applyNumberFormat="1" applyFont="1" applyFill="1" applyBorder="1" applyAlignment="1">
      <alignment horizontal="center" vertical="center"/>
    </xf>
    <xf numFmtId="0" fontId="6" fillId="3" borderId="5" xfId="0" applyFont="1" applyFill="1" applyBorder="1" applyAlignment="1">
      <alignment horizontal="center" vertical="center"/>
    </xf>
    <xf numFmtId="0" fontId="6" fillId="3" borderId="40" xfId="0" applyFont="1" applyFill="1" applyBorder="1" applyAlignment="1">
      <alignment horizontal="center" vertical="center"/>
    </xf>
    <xf numFmtId="0" fontId="5" fillId="0" borderId="41" xfId="0" applyFont="1" applyBorder="1" applyAlignment="1">
      <alignment vertical="top" wrapText="1"/>
    </xf>
    <xf numFmtId="49" fontId="1" fillId="0" borderId="9" xfId="0" applyNumberFormat="1" applyFont="1" applyBorder="1" applyAlignment="1">
      <alignment vertical="top"/>
    </xf>
    <xf numFmtId="0" fontId="1" fillId="0" borderId="9" xfId="0" applyFont="1" applyBorder="1" applyAlignment="1">
      <alignment vertical="top"/>
    </xf>
    <xf numFmtId="15" fontId="1" fillId="0" borderId="9" xfId="0" applyNumberFormat="1" applyFont="1" applyBorder="1" applyAlignment="1">
      <alignment vertical="top"/>
    </xf>
    <xf numFmtId="0" fontId="5" fillId="0" borderId="42" xfId="0" applyFont="1" applyBorder="1" applyAlignment="1">
      <alignment vertical="top" wrapText="1"/>
    </xf>
    <xf numFmtId="164" fontId="1" fillId="0" borderId="41" xfId="0" applyNumberFormat="1" applyFont="1" applyBorder="1" applyAlignment="1">
      <alignment vertical="top"/>
    </xf>
    <xf numFmtId="0" fontId="1" fillId="0" borderId="42" xfId="0" applyFont="1" applyBorder="1" applyAlignment="1">
      <alignment vertical="top"/>
    </xf>
    <xf numFmtId="164" fontId="1" fillId="0" borderId="43" xfId="0" applyNumberFormat="1" applyFont="1" applyBorder="1" applyAlignment="1">
      <alignment vertical="top"/>
    </xf>
    <xf numFmtId="49" fontId="1" fillId="0" borderId="11" xfId="0" applyNumberFormat="1" applyFont="1" applyBorder="1" applyAlignment="1">
      <alignment vertical="top"/>
    </xf>
    <xf numFmtId="0" fontId="1" fillId="0" borderId="11" xfId="0" applyFont="1" applyBorder="1" applyAlignment="1">
      <alignment vertical="top"/>
    </xf>
    <xf numFmtId="0" fontId="1" fillId="0" borderId="44" xfId="0" applyFont="1" applyBorder="1" applyAlignment="1">
      <alignment vertical="top"/>
    </xf>
    <xf numFmtId="0" fontId="33" fillId="2" borderId="0" xfId="5" applyFont="1" applyFill="1"/>
    <xf numFmtId="0" fontId="34" fillId="2" borderId="0" xfId="5" applyFont="1" applyFill="1"/>
    <xf numFmtId="0" fontId="33" fillId="2" borderId="0" xfId="5" applyFont="1" applyFill="1" applyAlignment="1"/>
    <xf numFmtId="0" fontId="33" fillId="2" borderId="0" xfId="5" applyFont="1" applyFill="1" applyBorder="1" applyAlignment="1"/>
    <xf numFmtId="0" fontId="33" fillId="2" borderId="0" xfId="5" applyFont="1" applyFill="1" applyBorder="1"/>
    <xf numFmtId="0" fontId="33" fillId="6" borderId="0" xfId="5" applyFont="1" applyFill="1" applyBorder="1" applyAlignment="1"/>
    <xf numFmtId="0" fontId="33" fillId="6" borderId="0" xfId="5" applyFont="1" applyFill="1" applyBorder="1"/>
    <xf numFmtId="0" fontId="35" fillId="6" borderId="0" xfId="5" applyFont="1" applyFill="1" applyBorder="1" applyAlignment="1">
      <alignment wrapText="1" readingOrder="1"/>
    </xf>
    <xf numFmtId="0" fontId="36" fillId="6" borderId="0" xfId="5" applyFont="1" applyFill="1" applyBorder="1" applyAlignment="1">
      <alignment wrapText="1" readingOrder="1"/>
    </xf>
    <xf numFmtId="0" fontId="33" fillId="2" borderId="38" xfId="5" applyFont="1" applyFill="1" applyBorder="1"/>
    <xf numFmtId="0" fontId="33" fillId="2" borderId="36" xfId="5" applyFont="1" applyFill="1" applyBorder="1"/>
    <xf numFmtId="0" fontId="37" fillId="6" borderId="0" xfId="5" applyFont="1" applyFill="1" applyBorder="1" applyAlignment="1">
      <alignment wrapText="1" readingOrder="1"/>
    </xf>
    <xf numFmtId="0" fontId="21" fillId="6" borderId="0" xfId="5" applyFill="1" applyBorder="1"/>
    <xf numFmtId="0" fontId="34" fillId="2" borderId="0" xfId="5" applyFont="1" applyFill="1" applyBorder="1"/>
    <xf numFmtId="0" fontId="33" fillId="4" borderId="0" xfId="5" applyFont="1" applyFill="1" applyBorder="1"/>
    <xf numFmtId="0" fontId="36" fillId="6" borderId="32" xfId="5" applyFont="1" applyFill="1" applyBorder="1" applyAlignment="1">
      <alignment wrapText="1" readingOrder="1"/>
    </xf>
    <xf numFmtId="0" fontId="36" fillId="6" borderId="37" xfId="5" applyFont="1" applyFill="1" applyBorder="1" applyAlignment="1">
      <alignment wrapText="1" readingOrder="1"/>
    </xf>
    <xf numFmtId="0" fontId="33" fillId="6" borderId="35" xfId="5" applyFont="1" applyFill="1" applyBorder="1"/>
    <xf numFmtId="0" fontId="33" fillId="6" borderId="34" xfId="5" applyFont="1" applyFill="1" applyBorder="1"/>
    <xf numFmtId="0" fontId="33" fillId="2" borderId="33" xfId="5" applyFont="1" applyFill="1" applyBorder="1"/>
    <xf numFmtId="0" fontId="33" fillId="2" borderId="32" xfId="5" applyFont="1" applyFill="1" applyBorder="1"/>
    <xf numFmtId="0" fontId="33" fillId="2" borderId="31" xfId="5" applyFont="1" applyFill="1" applyBorder="1"/>
    <xf numFmtId="0" fontId="34" fillId="2" borderId="0" xfId="5" applyFont="1" applyFill="1" applyBorder="1" applyAlignment="1">
      <alignment vertical="top" wrapText="1"/>
    </xf>
    <xf numFmtId="0" fontId="38" fillId="2" borderId="0" xfId="5" applyFont="1" applyFill="1" applyAlignment="1"/>
    <xf numFmtId="0" fontId="38" fillId="2" borderId="0" xfId="5" applyFont="1" applyFill="1" applyBorder="1" applyAlignment="1"/>
    <xf numFmtId="0" fontId="39" fillId="2" borderId="0" xfId="6" applyFont="1" applyFill="1" applyBorder="1" applyAlignment="1">
      <alignment horizontal="left" vertical="center"/>
    </xf>
    <xf numFmtId="0" fontId="33" fillId="4" borderId="0" xfId="5" applyFont="1" applyFill="1" applyBorder="1" applyAlignment="1">
      <alignment vertical="top" wrapText="1"/>
    </xf>
    <xf numFmtId="0" fontId="33" fillId="4" borderId="0" xfId="6" applyFont="1" applyFill="1" applyBorder="1" applyAlignment="1">
      <alignment vertical="top" wrapText="1"/>
    </xf>
    <xf numFmtId="0" fontId="40" fillId="5" borderId="45" xfId="6" applyFont="1" applyFill="1" applyBorder="1" applyAlignment="1">
      <alignment horizontal="left" vertical="center"/>
    </xf>
    <xf numFmtId="0" fontId="40" fillId="5" borderId="46" xfId="6" applyFont="1" applyFill="1" applyBorder="1" applyAlignment="1">
      <alignment horizontal="left" vertical="center"/>
    </xf>
    <xf numFmtId="0" fontId="35" fillId="0" borderId="46" xfId="5" applyFont="1" applyBorder="1" applyAlignment="1">
      <alignment horizontal="left" vertical="center" wrapText="1" readingOrder="1"/>
    </xf>
    <xf numFmtId="0" fontId="36" fillId="0" borderId="46" xfId="5" applyFont="1" applyBorder="1" applyAlignment="1">
      <alignment horizontal="left" vertical="center" wrapText="1" readingOrder="1"/>
    </xf>
    <xf numFmtId="0" fontId="33" fillId="4" borderId="47" xfId="5" applyFont="1" applyFill="1" applyBorder="1"/>
    <xf numFmtId="0" fontId="33" fillId="4" borderId="48" xfId="5" applyFont="1" applyFill="1" applyBorder="1" applyAlignment="1"/>
    <xf numFmtId="0" fontId="35" fillId="0" borderId="49" xfId="5" applyFont="1" applyBorder="1" applyAlignment="1">
      <alignment horizontal="left" vertical="center" wrapText="1" readingOrder="1"/>
    </xf>
    <xf numFmtId="0" fontId="36" fillId="0" borderId="49" xfId="5" applyFont="1" applyBorder="1" applyAlignment="1">
      <alignment horizontal="left" vertical="center" wrapText="1" readingOrder="1"/>
    </xf>
    <xf numFmtId="0" fontId="33" fillId="2" borderId="1" xfId="5" applyFont="1" applyFill="1" applyBorder="1" applyAlignment="1">
      <alignment vertical="top" wrapText="1"/>
    </xf>
    <xf numFmtId="0" fontId="33" fillId="2" borderId="1" xfId="6" applyFont="1" applyFill="1" applyBorder="1" applyAlignment="1">
      <alignment vertical="top" wrapText="1"/>
    </xf>
    <xf numFmtId="0" fontId="38" fillId="2" borderId="0" xfId="5" applyFont="1" applyFill="1" applyAlignment="1">
      <alignment vertical="top"/>
    </xf>
    <xf numFmtId="0" fontId="38" fillId="4" borderId="0" xfId="5" applyFont="1" applyFill="1" applyAlignment="1">
      <alignment vertical="top"/>
    </xf>
    <xf numFmtId="0" fontId="18" fillId="2" borderId="1" xfId="5" applyFont="1" applyFill="1" applyBorder="1" applyAlignment="1">
      <alignment vertical="center" wrapText="1"/>
    </xf>
    <xf numFmtId="0" fontId="18" fillId="2" borderId="1" xfId="5" applyFont="1" applyFill="1" applyBorder="1" applyAlignment="1">
      <alignment horizontal="left" vertical="center" wrapText="1"/>
    </xf>
    <xf numFmtId="0" fontId="39" fillId="2" borderId="0" xfId="6" applyFont="1" applyFill="1" applyBorder="1" applyAlignment="1">
      <alignment horizontal="center" vertical="center" wrapText="1"/>
    </xf>
    <xf numFmtId="0" fontId="42" fillId="3" borderId="1" xfId="6" applyFont="1" applyFill="1" applyBorder="1" applyAlignment="1">
      <alignment horizontal="center" vertical="center" wrapText="1"/>
    </xf>
    <xf numFmtId="0" fontId="42" fillId="3" borderId="23" xfId="6" applyFont="1" applyFill="1" applyBorder="1" applyAlignment="1">
      <alignment horizontal="center" vertical="center" wrapText="1"/>
    </xf>
    <xf numFmtId="0" fontId="34" fillId="2" borderId="0" xfId="5" applyFont="1" applyFill="1" applyBorder="1" applyAlignment="1">
      <alignment horizontal="center" wrapText="1"/>
    </xf>
    <xf numFmtId="0" fontId="33" fillId="2" borderId="0" xfId="5" applyFont="1" applyFill="1" applyBorder="1" applyAlignment="1">
      <alignment horizontal="center" wrapText="1"/>
    </xf>
    <xf numFmtId="0" fontId="38" fillId="2" borderId="0" xfId="5" applyFont="1" applyFill="1" applyBorder="1" applyAlignment="1">
      <alignment horizontal="center" wrapText="1"/>
    </xf>
    <xf numFmtId="0" fontId="38" fillId="2" borderId="21" xfId="5" applyFont="1" applyFill="1" applyBorder="1" applyAlignment="1">
      <alignment horizontal="center" vertical="center"/>
    </xf>
    <xf numFmtId="0" fontId="38" fillId="2" borderId="20" xfId="5" applyFont="1" applyFill="1" applyBorder="1" applyAlignment="1">
      <alignment horizontal="center" vertical="center"/>
    </xf>
    <xf numFmtId="0" fontId="38" fillId="2" borderId="19" xfId="5" applyFont="1" applyFill="1" applyBorder="1" applyAlignment="1">
      <alignment horizontal="center" vertical="center"/>
    </xf>
    <xf numFmtId="0" fontId="43" fillId="2" borderId="18" xfId="5" applyFont="1" applyFill="1" applyBorder="1" applyAlignment="1">
      <alignment horizontal="center" vertical="center" wrapText="1"/>
    </xf>
    <xf numFmtId="0" fontId="43" fillId="2" borderId="1" xfId="5" applyFont="1" applyFill="1" applyBorder="1" applyAlignment="1">
      <alignment horizontal="center" vertical="center" wrapText="1"/>
    </xf>
    <xf numFmtId="0" fontId="43" fillId="2" borderId="16" xfId="5" applyFont="1" applyFill="1" applyBorder="1" applyAlignment="1">
      <alignment horizontal="center" vertical="center"/>
    </xf>
    <xf numFmtId="0" fontId="43" fillId="2" borderId="0" xfId="5" applyFont="1" applyFill="1" applyAlignment="1"/>
    <xf numFmtId="0" fontId="34" fillId="2" borderId="0" xfId="5" applyFont="1" applyFill="1" applyAlignment="1">
      <alignment wrapText="1"/>
    </xf>
    <xf numFmtId="0" fontId="33" fillId="2" borderId="0" xfId="5" applyFont="1" applyFill="1" applyAlignment="1">
      <alignment wrapText="1"/>
    </xf>
    <xf numFmtId="0" fontId="33" fillId="2" borderId="0" xfId="5" applyFont="1" applyFill="1" applyAlignment="1" applyProtection="1">
      <alignment wrapText="1"/>
    </xf>
    <xf numFmtId="0" fontId="40" fillId="2" borderId="14" xfId="6" applyFont="1" applyFill="1" applyBorder="1" applyAlignment="1">
      <alignment horizontal="left" wrapText="1"/>
    </xf>
    <xf numFmtId="0" fontId="40" fillId="2" borderId="16" xfId="6" applyFont="1" applyFill="1" applyBorder="1" applyAlignment="1">
      <alignment horizontal="left" wrapText="1"/>
    </xf>
    <xf numFmtId="0" fontId="40" fillId="2" borderId="0" xfId="5" applyFont="1" applyFill="1" applyAlignment="1" applyProtection="1">
      <alignment wrapText="1"/>
    </xf>
    <xf numFmtId="0" fontId="33" fillId="2" borderId="13" xfId="5" applyFont="1" applyFill="1" applyBorder="1" applyAlignment="1">
      <alignment wrapText="1"/>
    </xf>
    <xf numFmtId="0" fontId="38" fillId="2" borderId="13" xfId="5" applyFont="1" applyFill="1" applyBorder="1" applyAlignment="1">
      <alignment wrapText="1"/>
    </xf>
    <xf numFmtId="0" fontId="38" fillId="2" borderId="13" xfId="5" applyFont="1" applyFill="1" applyBorder="1" applyAlignment="1"/>
    <xf numFmtId="0" fontId="18" fillId="2" borderId="2" xfId="6" applyFont="1" applyFill="1" applyBorder="1" applyAlignment="1">
      <alignment horizontal="center" vertical="center" wrapText="1"/>
    </xf>
    <xf numFmtId="0" fontId="2" fillId="0" borderId="1" xfId="0" applyFont="1" applyBorder="1" applyAlignment="1">
      <alignment horizontal="center" vertical="center"/>
    </xf>
    <xf numFmtId="0" fontId="5" fillId="0" borderId="1" xfId="0" applyFont="1" applyBorder="1" applyAlignment="1">
      <alignment horizontal="left"/>
    </xf>
    <xf numFmtId="0" fontId="4" fillId="2" borderId="1" xfId="0" applyFont="1" applyFill="1" applyBorder="1" applyAlignment="1">
      <alignment horizontal="left" vertical="center"/>
    </xf>
    <xf numFmtId="0" fontId="5" fillId="0" borderId="1" xfId="0" applyFont="1" applyBorder="1" applyAlignment="1">
      <alignment horizontal="left" vertical="center"/>
    </xf>
    <xf numFmtId="1" fontId="4" fillId="2" borderId="18" xfId="0" applyNumberFormat="1" applyFont="1" applyFill="1" applyBorder="1" applyAlignment="1"/>
    <xf numFmtId="0" fontId="5" fillId="2" borderId="1" xfId="0" applyFont="1" applyFill="1" applyBorder="1" applyAlignment="1">
      <alignment horizontal="left"/>
    </xf>
    <xf numFmtId="1" fontId="4" fillId="2" borderId="1" xfId="0" applyNumberFormat="1" applyFont="1" applyFill="1" applyBorder="1" applyAlignment="1">
      <alignment vertical="center" wrapText="1"/>
    </xf>
    <xf numFmtId="0" fontId="5" fillId="2" borderId="1" xfId="0" applyFont="1" applyFill="1" applyBorder="1" applyAlignment="1">
      <alignment vertical="top" wrapText="1"/>
    </xf>
    <xf numFmtId="0" fontId="44" fillId="2" borderId="15" xfId="6" applyFont="1" applyFill="1" applyBorder="1" applyAlignment="1">
      <alignment horizontal="left" wrapText="1"/>
    </xf>
    <xf numFmtId="0" fontId="44" fillId="2" borderId="17" xfId="6" applyFont="1" applyFill="1" applyBorder="1" applyAlignment="1">
      <alignment horizontal="left" wrapText="1"/>
    </xf>
    <xf numFmtId="0" fontId="43" fillId="2" borderId="15" xfId="5" applyFont="1" applyFill="1" applyBorder="1" applyAlignment="1">
      <alignment horizontal="center" vertical="center" wrapText="1"/>
    </xf>
    <xf numFmtId="0" fontId="38" fillId="2" borderId="22" xfId="5" applyFont="1" applyFill="1" applyBorder="1" applyAlignment="1">
      <alignment horizontal="center" vertical="center" wrapText="1"/>
    </xf>
    <xf numFmtId="0" fontId="14" fillId="2" borderId="15" xfId="3" applyFont="1" applyFill="1" applyBorder="1" applyAlignment="1">
      <alignment horizontal="left" wrapText="1"/>
    </xf>
    <xf numFmtId="0" fontId="14" fillId="2" borderId="17" xfId="3" applyFont="1" applyFill="1" applyBorder="1" applyAlignment="1">
      <alignment horizontal="left" wrapText="1"/>
    </xf>
    <xf numFmtId="0" fontId="15" fillId="2" borderId="15" xfId="0" applyFont="1" applyFill="1" applyBorder="1" applyAlignment="1">
      <alignment horizontal="center" vertical="center" wrapText="1"/>
    </xf>
    <xf numFmtId="0" fontId="10" fillId="2" borderId="22" xfId="0" applyFont="1" applyFill="1" applyBorder="1" applyAlignment="1">
      <alignment horizontal="center" vertical="center" wrapText="1"/>
    </xf>
    <xf numFmtId="0" fontId="4" fillId="2" borderId="1" xfId="0" applyFont="1" applyFill="1" applyBorder="1" applyAlignment="1">
      <alignment horizontal="left"/>
    </xf>
    <xf numFmtId="0" fontId="5" fillId="2" borderId="1" xfId="2" applyFont="1" applyFill="1" applyBorder="1" applyAlignment="1">
      <alignment vertical="top"/>
    </xf>
    <xf numFmtId="0" fontId="2" fillId="2" borderId="0" xfId="2" applyFont="1" applyFill="1" applyBorder="1" applyAlignment="1">
      <alignment horizontal="center"/>
    </xf>
  </cellXfs>
  <cellStyles count="7">
    <cellStyle name="Hyperlink" xfId="1" builtinId="8"/>
    <cellStyle name="Normal" xfId="0" builtinId="0"/>
    <cellStyle name="Normal 2" xfId="5"/>
    <cellStyle name="Normal_Functional Test Case v1.0" xfId="2"/>
    <cellStyle name="Normal_Sheet1" xfId="3"/>
    <cellStyle name="Normal_Sheet1 2" xfId="6"/>
    <cellStyle name="標準_結合試験(AllOvertheWorld)" xfId="4"/>
  </cellStyles>
  <dxfs count="0"/>
  <tableStyles count="1" defaultTableStyle="TableStyleMedium9" defaultPivotStyle="PivotStyleLight16">
    <tableStyle name="Invisible" pivot="0" table="0" count="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G18"/>
  <sheetViews>
    <sheetView workbookViewId="0">
      <selection activeCell="F25" sqref="F25"/>
    </sheetView>
  </sheetViews>
  <sheetFormatPr defaultColWidth="9" defaultRowHeight="12.75"/>
  <cols>
    <col min="1" max="1" width="2.25" style="162" customWidth="1"/>
    <col min="2" max="2" width="19.625" style="163" customWidth="1"/>
    <col min="3" max="3" width="9.25" style="162" customWidth="1"/>
    <col min="4" max="4" width="14.5" style="162" customWidth="1"/>
    <col min="5" max="5" width="8" style="162" customWidth="1"/>
    <col min="6" max="6" width="31.125" style="162" customWidth="1"/>
    <col min="7" max="7" width="31" style="162" customWidth="1"/>
    <col min="8" max="16384" width="9" style="162"/>
  </cols>
  <sheetData>
    <row r="2" spans="1:7" s="159" customFormat="1" ht="75.75" customHeight="1">
      <c r="A2" s="164"/>
      <c r="B2" s="165"/>
      <c r="C2" s="257" t="s">
        <v>0</v>
      </c>
      <c r="D2" s="257"/>
      <c r="E2" s="257"/>
      <c r="F2" s="257"/>
      <c r="G2" s="257"/>
    </row>
    <row r="3" spans="1:7">
      <c r="B3" s="166"/>
      <c r="C3" s="167"/>
      <c r="F3" s="1"/>
    </row>
    <row r="4" spans="1:7" ht="14.25" customHeight="1">
      <c r="B4" s="6" t="s">
        <v>1</v>
      </c>
      <c r="C4" s="258" t="s">
        <v>2</v>
      </c>
      <c r="D4" s="258"/>
      <c r="E4" s="258"/>
      <c r="F4" s="6" t="s">
        <v>3</v>
      </c>
      <c r="G4" s="168"/>
    </row>
    <row r="5" spans="1:7" ht="14.25" customHeight="1">
      <c r="B5" s="6" t="s">
        <v>4</v>
      </c>
      <c r="C5" s="258" t="s">
        <v>5</v>
      </c>
      <c r="D5" s="258"/>
      <c r="E5" s="258"/>
      <c r="F5" s="6" t="s">
        <v>6</v>
      </c>
      <c r="G5" s="168"/>
    </row>
    <row r="6" spans="1:7" ht="15.75" customHeight="1">
      <c r="B6" s="259" t="s">
        <v>7</v>
      </c>
      <c r="C6" s="260" t="str">
        <f>C5&amp;"_"&amp;"XXX"&amp;"_"&amp;"vx.x"</f>
        <v>&lt;Project Code&gt;_XXX_vx.x</v>
      </c>
      <c r="D6" s="260"/>
      <c r="E6" s="260"/>
      <c r="F6" s="6" t="s">
        <v>8</v>
      </c>
      <c r="G6" s="169"/>
    </row>
    <row r="7" spans="1:7" ht="13.5" customHeight="1">
      <c r="B7" s="259"/>
      <c r="C7" s="260"/>
      <c r="D7" s="260"/>
      <c r="E7" s="260"/>
      <c r="F7" s="6" t="s">
        <v>9</v>
      </c>
      <c r="G7" s="169"/>
    </row>
    <row r="8" spans="1:7">
      <c r="B8" s="170"/>
      <c r="C8" s="171"/>
      <c r="D8" s="172"/>
      <c r="E8" s="172"/>
      <c r="F8" s="173"/>
      <c r="G8" s="174"/>
    </row>
    <row r="9" spans="1:7">
      <c r="B9" s="175"/>
      <c r="C9" s="176"/>
      <c r="D9" s="176"/>
      <c r="E9" s="176"/>
      <c r="F9" s="176"/>
    </row>
    <row r="10" spans="1:7">
      <c r="B10" s="177" t="s">
        <v>10</v>
      </c>
    </row>
    <row r="11" spans="1:7" s="160" customFormat="1">
      <c r="B11" s="178" t="s">
        <v>11</v>
      </c>
      <c r="C11" s="179" t="s">
        <v>9</v>
      </c>
      <c r="D11" s="179" t="s">
        <v>12</v>
      </c>
      <c r="E11" s="179" t="s">
        <v>13</v>
      </c>
      <c r="F11" s="179" t="s">
        <v>14</v>
      </c>
      <c r="G11" s="180" t="s">
        <v>15</v>
      </c>
    </row>
    <row r="12" spans="1:7" s="161" customFormat="1" ht="25.5">
      <c r="B12" s="181" t="s">
        <v>16</v>
      </c>
      <c r="C12" s="182"/>
      <c r="D12" s="183"/>
      <c r="E12" s="183"/>
      <c r="F12" s="184"/>
      <c r="G12" s="185" t="s">
        <v>17</v>
      </c>
    </row>
    <row r="13" spans="1:7" s="161" customFormat="1" ht="21.75" customHeight="1">
      <c r="B13" s="186"/>
      <c r="C13" s="182"/>
      <c r="D13" s="183"/>
      <c r="E13" s="183"/>
      <c r="F13" s="183"/>
      <c r="G13" s="187"/>
    </row>
    <row r="14" spans="1:7" s="161" customFormat="1" ht="19.5" customHeight="1">
      <c r="B14" s="186"/>
      <c r="C14" s="182"/>
      <c r="D14" s="183"/>
      <c r="E14" s="183"/>
      <c r="F14" s="183"/>
      <c r="G14" s="187"/>
    </row>
    <row r="15" spans="1:7" s="161" customFormat="1" ht="21.75" customHeight="1">
      <c r="B15" s="186"/>
      <c r="C15" s="182"/>
      <c r="D15" s="183"/>
      <c r="E15" s="183"/>
      <c r="F15" s="183"/>
      <c r="G15" s="187"/>
    </row>
    <row r="16" spans="1:7" s="161" customFormat="1" ht="19.5" customHeight="1">
      <c r="B16" s="186"/>
      <c r="C16" s="182"/>
      <c r="D16" s="183"/>
      <c r="E16" s="183"/>
      <c r="F16" s="183"/>
      <c r="G16" s="187"/>
    </row>
    <row r="17" spans="2:7" s="161" customFormat="1" ht="21.75" customHeight="1">
      <c r="B17" s="186"/>
      <c r="C17" s="182"/>
      <c r="D17" s="183"/>
      <c r="E17" s="183"/>
      <c r="F17" s="183"/>
      <c r="G17" s="187"/>
    </row>
    <row r="18" spans="2:7" s="161" customFormat="1" ht="19.5" customHeight="1">
      <c r="B18" s="188"/>
      <c r="C18" s="189"/>
      <c r="D18" s="190"/>
      <c r="E18" s="190"/>
      <c r="F18" s="190"/>
      <c r="G18" s="191"/>
    </row>
  </sheetData>
  <mergeCells count="5">
    <mergeCell ref="C2:G2"/>
    <mergeCell ref="C4:E4"/>
    <mergeCell ref="C5:E5"/>
    <mergeCell ref="B6:B7"/>
    <mergeCell ref="C6:E7"/>
  </mergeCells>
  <pageMargins left="0.47013888888888899" right="0.47013888888888899" top="0.5" bottom="0.35138888888888897" header="0.51180555555555596" footer="0.17013888888888901"/>
  <pageSetup paperSize="9"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21"/>
  <sheetViews>
    <sheetView tabSelected="1" workbookViewId="0">
      <selection activeCell="C10" sqref="C10"/>
    </sheetView>
  </sheetViews>
  <sheetFormatPr defaultColWidth="9" defaultRowHeight="12.75"/>
  <cols>
    <col min="1" max="1" width="1.375" style="1" customWidth="1"/>
    <col min="2" max="2" width="11.75" style="136" customWidth="1"/>
    <col min="3" max="3" width="26.5" style="137" customWidth="1"/>
    <col min="4" max="4" width="17.125" style="137" customWidth="1"/>
    <col min="5" max="5" width="28.125" style="137" customWidth="1"/>
    <col min="6" max="6" width="30.625" style="137" customWidth="1"/>
    <col min="7" max="16384" width="9" style="1"/>
  </cols>
  <sheetData>
    <row r="1" spans="2:6" ht="25.5">
      <c r="B1" s="138"/>
      <c r="D1" s="139" t="s">
        <v>18</v>
      </c>
      <c r="E1" s="140"/>
    </row>
    <row r="2" spans="2:6" ht="13.5" customHeight="1">
      <c r="B2" s="138"/>
      <c r="D2" s="141"/>
      <c r="E2" s="141"/>
    </row>
    <row r="3" spans="2:6">
      <c r="B3" s="261" t="s">
        <v>1</v>
      </c>
      <c r="C3" s="261"/>
      <c r="D3" s="262" t="str">
        <f>Cover!C4</f>
        <v>&lt;Project Name&gt;</v>
      </c>
      <c r="E3" s="262"/>
      <c r="F3" s="262"/>
    </row>
    <row r="4" spans="2:6">
      <c r="B4" s="261" t="s">
        <v>4</v>
      </c>
      <c r="C4" s="261"/>
      <c r="D4" s="262" t="str">
        <f>Cover!C5</f>
        <v>&lt;Project Code&gt;</v>
      </c>
      <c r="E4" s="262"/>
      <c r="F4" s="262"/>
    </row>
    <row r="5" spans="2:6" s="133" customFormat="1" ht="84.75" customHeight="1">
      <c r="B5" s="263" t="s">
        <v>19</v>
      </c>
      <c r="C5" s="263"/>
      <c r="D5" s="264" t="s">
        <v>20</v>
      </c>
      <c r="E5" s="264"/>
      <c r="F5" s="264"/>
    </row>
    <row r="6" spans="2:6">
      <c r="B6" s="142"/>
      <c r="C6" s="143"/>
      <c r="D6" s="143"/>
      <c r="E6" s="143"/>
      <c r="F6" s="143"/>
    </row>
    <row r="7" spans="2:6" s="134" customFormat="1">
      <c r="B7" s="144"/>
      <c r="C7" s="145"/>
      <c r="D7" s="145"/>
      <c r="E7" s="145"/>
      <c r="F7" s="145"/>
    </row>
    <row r="8" spans="2:6" s="135" customFormat="1" ht="21" customHeight="1">
      <c r="B8" s="146" t="s">
        <v>21</v>
      </c>
      <c r="C8" s="147" t="s">
        <v>22</v>
      </c>
      <c r="D8" s="147" t="s">
        <v>23</v>
      </c>
      <c r="E8" s="148" t="s">
        <v>24</v>
      </c>
      <c r="F8" s="149" t="s">
        <v>25</v>
      </c>
    </row>
    <row r="9" spans="2:6" ht="14.25">
      <c r="B9" s="150">
        <v>1</v>
      </c>
      <c r="C9" t="s">
        <v>122</v>
      </c>
      <c r="D9" s="152"/>
      <c r="E9" s="152"/>
      <c r="F9" s="153"/>
    </row>
    <row r="10" spans="2:6" ht="14.25">
      <c r="B10" s="150">
        <v>2</v>
      </c>
      <c r="C10" t="s">
        <v>123</v>
      </c>
      <c r="D10" s="152"/>
      <c r="E10" s="152"/>
      <c r="F10" s="153"/>
    </row>
    <row r="11" spans="2:6">
      <c r="B11" s="150"/>
      <c r="C11" s="151"/>
      <c r="D11" s="152"/>
      <c r="E11" s="152"/>
      <c r="F11" s="153"/>
    </row>
    <row r="12" spans="2:6">
      <c r="B12" s="150"/>
      <c r="C12" s="151"/>
      <c r="D12" s="152"/>
      <c r="E12" s="152"/>
      <c r="F12" s="153"/>
    </row>
    <row r="13" spans="2:6">
      <c r="B13" s="150"/>
      <c r="C13" s="151"/>
      <c r="D13" s="152"/>
      <c r="E13" s="152"/>
      <c r="F13" s="153"/>
    </row>
    <row r="14" spans="2:6">
      <c r="B14" s="150"/>
      <c r="C14" s="151"/>
      <c r="D14" s="154"/>
      <c r="E14" s="154"/>
      <c r="F14" s="153"/>
    </row>
    <row r="15" spans="2:6">
      <c r="B15" s="150"/>
      <c r="C15" s="151"/>
      <c r="D15" s="154"/>
      <c r="E15" s="154"/>
      <c r="F15" s="153"/>
    </row>
    <row r="16" spans="2:6">
      <c r="B16" s="150"/>
      <c r="C16" s="151"/>
      <c r="D16" s="154"/>
      <c r="E16" s="154"/>
      <c r="F16" s="153"/>
    </row>
    <row r="17" spans="2:6">
      <c r="B17" s="150"/>
      <c r="C17" s="151"/>
      <c r="D17" s="154"/>
      <c r="E17" s="154"/>
      <c r="F17" s="153"/>
    </row>
    <row r="18" spans="2:6">
      <c r="B18" s="150"/>
      <c r="C18" s="151"/>
      <c r="D18" s="154"/>
      <c r="E18" s="154"/>
      <c r="F18" s="153"/>
    </row>
    <row r="19" spans="2:6">
      <c r="B19" s="150"/>
      <c r="C19" s="151"/>
      <c r="D19" s="154"/>
      <c r="E19" s="154"/>
      <c r="F19" s="153"/>
    </row>
    <row r="20" spans="2:6">
      <c r="B20" s="150"/>
      <c r="C20" s="151"/>
      <c r="D20" s="154"/>
      <c r="E20" s="154"/>
      <c r="F20" s="153"/>
    </row>
    <row r="21" spans="2:6">
      <c r="B21" s="155"/>
      <c r="C21" s="156"/>
      <c r="D21" s="157"/>
      <c r="E21" s="157"/>
      <c r="F21" s="158"/>
    </row>
  </sheetData>
  <mergeCells count="6">
    <mergeCell ref="B3:C3"/>
    <mergeCell ref="D3:F3"/>
    <mergeCell ref="B4:C4"/>
    <mergeCell ref="D4:F4"/>
    <mergeCell ref="B5:C5"/>
    <mergeCell ref="D5:F5"/>
  </mergeCells>
  <pageMargins left="0.74791666666666701" right="0.74791666666666701" top="0.98402777777777795" bottom="1.15069444444444" header="0.51180555555555596" footer="0.98402777777777795"/>
  <pageSetup paperSize="9"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8"/>
  <sheetViews>
    <sheetView workbookViewId="0">
      <pane ySplit="8" topLeftCell="A9" activePane="bottomLeft" state="frozen"/>
      <selection pane="bottomLeft" activeCell="C8" sqref="C8"/>
    </sheetView>
  </sheetViews>
  <sheetFormatPr defaultRowHeight="12.75"/>
  <cols>
    <col min="1" max="1" width="11.75" style="192" customWidth="1"/>
    <col min="2" max="2" width="19.125" style="192" customWidth="1"/>
    <col min="3" max="3" width="32.125" style="192" customWidth="1"/>
    <col min="4" max="4" width="28.5" style="192" customWidth="1"/>
    <col min="5" max="5" width="15" style="192" customWidth="1"/>
    <col min="6" max="6" width="7.125" style="192" customWidth="1"/>
    <col min="7" max="7" width="11.75" style="194" customWidth="1"/>
    <col min="8" max="8" width="31.875" style="192" customWidth="1"/>
    <col min="9" max="9" width="8.25" style="193" customWidth="1"/>
    <col min="10" max="10" width="9" style="192" hidden="1" customWidth="1"/>
    <col min="11" max="16384" width="9" style="192"/>
  </cols>
  <sheetData>
    <row r="1" spans="1:17" s="215" customFormat="1" ht="13.5" thickBot="1">
      <c r="A1" s="255"/>
      <c r="B1" s="254"/>
      <c r="C1" s="254"/>
      <c r="D1" s="254"/>
      <c r="E1" s="254"/>
      <c r="F1" s="253"/>
      <c r="G1" s="252"/>
      <c r="H1" s="248"/>
      <c r="I1" s="247"/>
    </row>
    <row r="2" spans="1:17" s="215" customFormat="1" ht="15" customHeight="1">
      <c r="A2" s="250" t="s">
        <v>26</v>
      </c>
      <c r="B2" s="265" t="s">
        <v>121</v>
      </c>
      <c r="C2" s="265"/>
      <c r="D2" s="265"/>
      <c r="E2" s="265"/>
      <c r="F2" s="265"/>
      <c r="G2" s="249"/>
      <c r="H2" s="248"/>
      <c r="I2" s="247"/>
      <c r="J2" s="215" t="s">
        <v>28</v>
      </c>
    </row>
    <row r="3" spans="1:17" s="215" customFormat="1" ht="25.5" customHeight="1">
      <c r="A3" s="251" t="s">
        <v>29</v>
      </c>
      <c r="B3" s="265"/>
      <c r="C3" s="265"/>
      <c r="D3" s="265"/>
      <c r="E3" s="265"/>
      <c r="F3" s="265"/>
      <c r="G3" s="249"/>
      <c r="H3" s="248"/>
      <c r="I3" s="247"/>
      <c r="J3" s="215" t="s">
        <v>31</v>
      </c>
    </row>
    <row r="4" spans="1:17" s="215" customFormat="1" ht="18" customHeight="1">
      <c r="A4" s="250" t="s">
        <v>32</v>
      </c>
      <c r="B4" s="266"/>
      <c r="C4" s="266"/>
      <c r="D4" s="266"/>
      <c r="E4" s="266"/>
      <c r="F4" s="266"/>
      <c r="G4" s="249"/>
      <c r="H4" s="248"/>
      <c r="I4" s="247"/>
      <c r="J4" s="246"/>
    </row>
    <row r="5" spans="1:17" s="215" customFormat="1" ht="19.5" customHeight="1">
      <c r="A5" s="245" t="s">
        <v>28</v>
      </c>
      <c r="B5" s="244" t="s">
        <v>31</v>
      </c>
      <c r="C5" s="244" t="s">
        <v>33</v>
      </c>
      <c r="D5" s="243" t="s">
        <v>34</v>
      </c>
      <c r="E5" s="267" t="s">
        <v>35</v>
      </c>
      <c r="F5" s="267"/>
      <c r="G5" s="238"/>
      <c r="H5" s="238"/>
      <c r="I5" s="237"/>
      <c r="J5" s="215" t="s">
        <v>36</v>
      </c>
    </row>
    <row r="6" spans="1:17" s="215" customFormat="1" ht="15" customHeight="1" thickBot="1">
      <c r="A6" s="242">
        <f>COUNTIF(F9:F997,"Pass")</f>
        <v>7</v>
      </c>
      <c r="B6" s="241">
        <f>COUNTIF(F9:F997,"Fail")</f>
        <v>0</v>
      </c>
      <c r="C6" s="241">
        <f>E6-D6-B6-A6</f>
        <v>0</v>
      </c>
      <c r="D6" s="240">
        <f>COUNTIF(F$9:F$997,"N/A")</f>
        <v>0</v>
      </c>
      <c r="E6" s="268">
        <f>COUNTA(A9:A997)</f>
        <v>7</v>
      </c>
      <c r="F6" s="268"/>
      <c r="G6" s="238"/>
      <c r="H6" s="238"/>
      <c r="I6" s="237"/>
      <c r="J6" s="215" t="s">
        <v>34</v>
      </c>
    </row>
    <row r="7" spans="1:17" s="215" customFormat="1" ht="15" customHeight="1">
      <c r="D7" s="239"/>
      <c r="E7" s="239"/>
      <c r="F7" s="238"/>
      <c r="G7" s="238"/>
      <c r="H7" s="238"/>
      <c r="I7" s="237"/>
    </row>
    <row r="8" spans="1:17" s="215" customFormat="1" ht="25.5" customHeight="1">
      <c r="A8" s="236" t="s">
        <v>37</v>
      </c>
      <c r="B8" s="236" t="s">
        <v>38</v>
      </c>
      <c r="C8" s="236" t="s">
        <v>39</v>
      </c>
      <c r="D8" s="236" t="s">
        <v>40</v>
      </c>
      <c r="E8" s="236" t="s">
        <v>41</v>
      </c>
      <c r="F8" s="236" t="s">
        <v>42</v>
      </c>
      <c r="G8" s="236" t="s">
        <v>41</v>
      </c>
      <c r="H8" s="235" t="s">
        <v>24</v>
      </c>
      <c r="I8" s="234"/>
    </row>
    <row r="9" spans="1:17" s="230" customFormat="1" ht="105">
      <c r="A9" s="227" t="s">
        <v>120</v>
      </c>
      <c r="B9" s="227" t="s">
        <v>119</v>
      </c>
      <c r="C9" s="226" t="s">
        <v>118</v>
      </c>
      <c r="D9" s="226" t="s">
        <v>117</v>
      </c>
      <c r="E9" s="226" t="s">
        <v>116</v>
      </c>
      <c r="F9" s="256" t="s">
        <v>28</v>
      </c>
      <c r="G9" s="233"/>
      <c r="H9" s="232"/>
      <c r="I9" s="214"/>
      <c r="K9" s="200"/>
      <c r="L9" s="200"/>
      <c r="M9" s="200"/>
      <c r="N9" s="200"/>
      <c r="O9" s="200"/>
    </row>
    <row r="10" spans="1:17" s="230" customFormat="1" ht="114">
      <c r="A10" s="227" t="s">
        <v>115</v>
      </c>
      <c r="B10" s="227" t="s">
        <v>114</v>
      </c>
      <c r="C10" s="226" t="s">
        <v>113</v>
      </c>
      <c r="D10" s="226" t="s">
        <v>112</v>
      </c>
      <c r="E10" s="226" t="s">
        <v>111</v>
      </c>
      <c r="F10" s="256" t="s">
        <v>28</v>
      </c>
      <c r="G10" s="233"/>
      <c r="H10" s="232"/>
      <c r="I10" s="214"/>
      <c r="K10" s="231"/>
      <c r="L10" s="231"/>
      <c r="M10" s="231"/>
      <c r="N10" s="231"/>
      <c r="O10" s="231"/>
    </row>
    <row r="11" spans="1:17" ht="128.25">
      <c r="A11" s="227" t="s">
        <v>110</v>
      </c>
      <c r="B11" s="227" t="s">
        <v>109</v>
      </c>
      <c r="C11" s="226" t="s">
        <v>108</v>
      </c>
      <c r="D11" s="226" t="s">
        <v>107</v>
      </c>
      <c r="E11" s="226" t="s">
        <v>106</v>
      </c>
      <c r="F11" s="256" t="s">
        <v>28</v>
      </c>
      <c r="G11" s="229"/>
      <c r="H11" s="228"/>
      <c r="I11" s="214"/>
      <c r="K11" s="200"/>
      <c r="L11" s="200"/>
      <c r="M11" s="199"/>
      <c r="N11" s="199"/>
      <c r="O11" s="199"/>
      <c r="P11" s="196"/>
    </row>
    <row r="12" spans="1:17" ht="114">
      <c r="A12" s="227" t="s">
        <v>105</v>
      </c>
      <c r="B12" s="227" t="s">
        <v>104</v>
      </c>
      <c r="C12" s="226" t="s">
        <v>103</v>
      </c>
      <c r="D12" s="226" t="s">
        <v>102</v>
      </c>
      <c r="E12" s="226" t="s">
        <v>101</v>
      </c>
      <c r="F12" s="256" t="s">
        <v>28</v>
      </c>
      <c r="G12" s="229"/>
      <c r="H12" s="228"/>
      <c r="I12" s="214"/>
      <c r="K12" s="200"/>
      <c r="L12" s="200"/>
      <c r="M12" s="199"/>
      <c r="N12" s="199"/>
      <c r="O12" s="199"/>
      <c r="P12" s="196"/>
    </row>
    <row r="13" spans="1:17" s="215" customFormat="1" ht="85.5">
      <c r="A13" s="227" t="s">
        <v>100</v>
      </c>
      <c r="B13" s="226" t="s">
        <v>99</v>
      </c>
      <c r="C13" s="226" t="s">
        <v>98</v>
      </c>
      <c r="D13" s="226" t="s">
        <v>97</v>
      </c>
      <c r="E13" s="226" t="s">
        <v>96</v>
      </c>
      <c r="F13" s="256" t="s">
        <v>28</v>
      </c>
      <c r="G13" s="229"/>
      <c r="H13" s="228"/>
      <c r="I13" s="217"/>
      <c r="K13" s="200"/>
      <c r="L13" s="200"/>
      <c r="M13" s="199"/>
      <c r="N13" s="199"/>
      <c r="O13" s="199"/>
      <c r="P13" s="216"/>
      <c r="Q13" s="216"/>
    </row>
    <row r="14" spans="1:17" ht="85.5">
      <c r="A14" s="227" t="s">
        <v>95</v>
      </c>
      <c r="B14" s="226" t="s">
        <v>94</v>
      </c>
      <c r="C14" s="226" t="s">
        <v>93</v>
      </c>
      <c r="D14" s="226" t="s">
        <v>92</v>
      </c>
      <c r="E14" s="226" t="s">
        <v>91</v>
      </c>
      <c r="F14" s="256" t="s">
        <v>28</v>
      </c>
      <c r="G14" s="225"/>
      <c r="H14" s="224"/>
      <c r="I14" s="214"/>
      <c r="K14" s="200"/>
      <c r="L14" s="200"/>
      <c r="M14" s="199"/>
      <c r="N14" s="199"/>
      <c r="O14" s="199"/>
      <c r="P14" s="196"/>
    </row>
    <row r="15" spans="1:17" ht="71.25">
      <c r="A15" s="223" t="s">
        <v>90</v>
      </c>
      <c r="B15" s="222" t="s">
        <v>89</v>
      </c>
      <c r="C15" s="222" t="s">
        <v>88</v>
      </c>
      <c r="D15" s="222" t="s">
        <v>87</v>
      </c>
      <c r="E15" s="222" t="s">
        <v>86</v>
      </c>
      <c r="F15" s="256" t="s">
        <v>28</v>
      </c>
      <c r="G15" s="221"/>
      <c r="H15" s="220"/>
      <c r="I15" s="205"/>
      <c r="K15" s="206"/>
      <c r="L15" s="206"/>
      <c r="M15" s="206"/>
      <c r="N15" s="206"/>
      <c r="O15" s="206"/>
      <c r="P15" s="196"/>
    </row>
    <row r="16" spans="1:17" s="215" customFormat="1" ht="15.75" customHeight="1">
      <c r="A16" s="219"/>
      <c r="B16" s="219"/>
      <c r="C16" s="219"/>
      <c r="D16" s="219"/>
      <c r="E16" s="219"/>
      <c r="F16" s="219"/>
      <c r="G16" s="219"/>
      <c r="H16" s="218"/>
      <c r="I16" s="217"/>
      <c r="K16" s="200"/>
      <c r="L16" s="200"/>
      <c r="M16" s="199"/>
      <c r="N16" s="199"/>
      <c r="O16" s="199"/>
      <c r="P16" s="216"/>
    </row>
    <row r="17" spans="2:16" ht="15">
      <c r="I17" s="214"/>
      <c r="K17" s="200"/>
      <c r="L17" s="200"/>
      <c r="M17" s="199"/>
      <c r="N17" s="199"/>
      <c r="O17" s="199"/>
      <c r="P17" s="196"/>
    </row>
    <row r="18" spans="2:16" ht="12.75" customHeight="1">
      <c r="B18" s="213"/>
      <c r="C18" s="212"/>
      <c r="D18" s="196"/>
      <c r="E18" s="196"/>
      <c r="F18" s="196"/>
      <c r="G18" s="195"/>
      <c r="H18" s="211"/>
      <c r="K18" s="200"/>
      <c r="L18" s="200"/>
      <c r="M18" s="199"/>
      <c r="N18" s="199"/>
      <c r="O18" s="199"/>
      <c r="P18" s="196"/>
    </row>
    <row r="19" spans="2:16" ht="15">
      <c r="B19" s="210"/>
      <c r="C19" s="209"/>
      <c r="D19" s="198"/>
      <c r="E19" s="198"/>
      <c r="F19" s="198"/>
      <c r="G19" s="197"/>
      <c r="H19" s="202"/>
      <c r="K19" s="200"/>
      <c r="L19" s="200"/>
      <c r="M19" s="199"/>
      <c r="N19" s="199"/>
      <c r="O19" s="199"/>
      <c r="P19" s="196"/>
    </row>
    <row r="20" spans="2:16" ht="16.5" customHeight="1">
      <c r="B20" s="208"/>
      <c r="C20" s="207"/>
      <c r="D20" s="200"/>
      <c r="E20" s="200"/>
      <c r="F20" s="200"/>
      <c r="G20" s="197"/>
      <c r="H20" s="202"/>
      <c r="K20" s="206"/>
      <c r="L20" s="206"/>
      <c r="M20" s="206"/>
      <c r="N20" s="206"/>
      <c r="O20" s="206"/>
      <c r="P20" s="196"/>
    </row>
    <row r="21" spans="2:16" ht="15">
      <c r="B21" s="198"/>
      <c r="C21" s="200"/>
      <c r="D21" s="198"/>
      <c r="E21" s="198"/>
      <c r="F21" s="198"/>
      <c r="G21" s="197"/>
      <c r="H21" s="202"/>
      <c r="K21" s="200"/>
      <c r="L21" s="200"/>
      <c r="M21" s="199"/>
      <c r="N21" s="199"/>
      <c r="O21" s="199"/>
      <c r="P21" s="196"/>
    </row>
    <row r="22" spans="2:16" ht="15">
      <c r="B22" s="200"/>
      <c r="C22" s="200"/>
      <c r="D22" s="199"/>
      <c r="E22" s="199"/>
      <c r="F22" s="203"/>
      <c r="G22" s="197"/>
      <c r="H22" s="202"/>
      <c r="K22" s="200"/>
      <c r="L22" s="200"/>
      <c r="M22" s="199"/>
      <c r="N22" s="199"/>
      <c r="O22" s="199"/>
      <c r="P22" s="196"/>
    </row>
    <row r="23" spans="2:16" ht="15">
      <c r="B23" s="200"/>
      <c r="C23" s="200"/>
      <c r="D23" s="199"/>
      <c r="E23" s="199"/>
      <c r="F23" s="203"/>
      <c r="G23" s="197"/>
      <c r="H23" s="202"/>
      <c r="K23" s="200"/>
      <c r="L23" s="200"/>
      <c r="M23" s="199"/>
      <c r="N23" s="199"/>
      <c r="O23" s="204"/>
      <c r="P23" s="196"/>
    </row>
    <row r="24" spans="2:16" ht="15">
      <c r="B24" s="200"/>
      <c r="C24" s="200"/>
      <c r="D24" s="199"/>
      <c r="E24" s="199"/>
      <c r="F24" s="203"/>
      <c r="G24" s="197"/>
      <c r="H24" s="202"/>
      <c r="K24" s="200"/>
      <c r="L24" s="200"/>
      <c r="M24" s="199"/>
      <c r="N24" s="199"/>
      <c r="O24" s="204"/>
      <c r="P24" s="196"/>
    </row>
    <row r="25" spans="2:16" ht="15">
      <c r="B25" s="200"/>
      <c r="C25" s="200"/>
      <c r="D25" s="199"/>
      <c r="E25" s="199"/>
      <c r="F25" s="203"/>
      <c r="G25" s="197"/>
      <c r="H25" s="202"/>
      <c r="K25" s="206"/>
      <c r="L25" s="206"/>
      <c r="M25" s="206"/>
      <c r="N25" s="206"/>
      <c r="O25" s="206"/>
      <c r="P25" s="196"/>
    </row>
    <row r="26" spans="2:16" ht="15">
      <c r="B26" s="200"/>
      <c r="C26" s="200"/>
      <c r="D26" s="199"/>
      <c r="E26" s="199"/>
      <c r="F26" s="203"/>
      <c r="G26" s="197"/>
      <c r="H26" s="196"/>
      <c r="K26" s="200"/>
      <c r="L26" s="200"/>
      <c r="M26" s="199"/>
      <c r="N26" s="199"/>
      <c r="O26" s="199"/>
      <c r="P26" s="196"/>
    </row>
    <row r="27" spans="2:16" ht="43.5" customHeight="1">
      <c r="B27" s="200"/>
      <c r="C27" s="200"/>
      <c r="D27" s="199"/>
      <c r="E27" s="199"/>
      <c r="F27" s="203"/>
      <c r="G27" s="197"/>
      <c r="H27" s="202"/>
      <c r="K27" s="200"/>
      <c r="L27" s="200"/>
      <c r="M27" s="199"/>
      <c r="N27" s="199"/>
      <c r="O27" s="199"/>
    </row>
    <row r="28" spans="2:16">
      <c r="B28" s="198"/>
      <c r="C28" s="198"/>
      <c r="D28" s="198"/>
      <c r="E28" s="198"/>
      <c r="F28" s="198"/>
      <c r="G28" s="197"/>
      <c r="H28" s="202"/>
      <c r="K28" s="206"/>
      <c r="L28" s="206"/>
      <c r="M28" s="206"/>
      <c r="N28" s="206"/>
      <c r="O28" s="206"/>
    </row>
    <row r="29" spans="2:16" ht="15">
      <c r="B29" s="200"/>
      <c r="C29" s="200"/>
      <c r="D29" s="199"/>
      <c r="E29" s="199"/>
      <c r="F29" s="199"/>
      <c r="G29" s="197"/>
      <c r="H29" s="202"/>
      <c r="K29" s="200"/>
      <c r="L29" s="200"/>
      <c r="M29" s="199"/>
      <c r="N29" s="199"/>
      <c r="O29" s="199"/>
    </row>
    <row r="30" spans="2:16" ht="15">
      <c r="B30" s="200"/>
      <c r="C30" s="200"/>
      <c r="D30" s="199"/>
      <c r="E30" s="199"/>
      <c r="F30" s="199"/>
      <c r="G30" s="197"/>
      <c r="H30" s="202"/>
      <c r="K30" s="200"/>
      <c r="L30" s="200"/>
      <c r="M30" s="199"/>
      <c r="N30" s="199"/>
      <c r="O30" s="199"/>
    </row>
    <row r="31" spans="2:16" ht="15">
      <c r="B31" s="200"/>
      <c r="C31" s="200"/>
      <c r="D31" s="199"/>
      <c r="E31" s="199"/>
      <c r="F31" s="204"/>
      <c r="G31" s="197"/>
      <c r="H31" s="202"/>
      <c r="K31" s="200"/>
      <c r="L31" s="200"/>
      <c r="M31" s="199"/>
      <c r="N31" s="199"/>
      <c r="O31" s="199"/>
    </row>
    <row r="32" spans="2:16" ht="144" customHeight="1">
      <c r="B32" s="200"/>
      <c r="C32" s="200"/>
      <c r="D32" s="199"/>
      <c r="E32" s="199"/>
      <c r="F32" s="204"/>
      <c r="G32" s="197"/>
      <c r="H32" s="196"/>
      <c r="K32" s="200"/>
      <c r="L32" s="200"/>
      <c r="M32" s="199"/>
      <c r="N32" s="199"/>
      <c r="O32" s="199"/>
    </row>
    <row r="33" spans="2:16" ht="15">
      <c r="B33" s="200"/>
      <c r="C33" s="200"/>
      <c r="D33" s="199"/>
      <c r="E33" s="199"/>
      <c r="F33" s="204"/>
      <c r="G33" s="197"/>
      <c r="H33" s="196"/>
      <c r="I33" s="205"/>
      <c r="J33" s="196"/>
      <c r="K33" s="200"/>
      <c r="L33" s="200"/>
      <c r="M33" s="199"/>
      <c r="N33" s="199"/>
      <c r="O33" s="199"/>
    </row>
    <row r="34" spans="2:16" ht="15">
      <c r="B34" s="200"/>
      <c r="C34" s="200"/>
      <c r="D34" s="199"/>
      <c r="E34" s="199"/>
      <c r="F34" s="204"/>
      <c r="G34" s="197"/>
      <c r="H34" s="202"/>
      <c r="K34" s="200"/>
      <c r="L34" s="200"/>
      <c r="M34" s="199"/>
      <c r="N34" s="199"/>
      <c r="O34" s="199"/>
      <c r="P34" s="196"/>
    </row>
    <row r="35" spans="2:16" ht="15">
      <c r="B35" s="200"/>
      <c r="C35" s="200"/>
      <c r="D35" s="199"/>
      <c r="E35" s="199"/>
      <c r="F35" s="204"/>
      <c r="G35" s="197"/>
      <c r="H35" s="202"/>
      <c r="K35" s="196"/>
      <c r="L35" s="196"/>
      <c r="M35" s="196"/>
      <c r="N35" s="196"/>
      <c r="O35" s="196"/>
      <c r="P35" s="196"/>
    </row>
    <row r="36" spans="2:16" ht="15.75" customHeight="1">
      <c r="B36" s="200"/>
      <c r="C36" s="200"/>
      <c r="D36" s="199"/>
      <c r="E36" s="199"/>
      <c r="F36" s="204"/>
      <c r="G36" s="197"/>
      <c r="H36" s="202"/>
      <c r="K36" s="196"/>
      <c r="L36" s="196"/>
      <c r="M36" s="196"/>
      <c r="N36" s="196"/>
      <c r="O36" s="196"/>
    </row>
    <row r="37" spans="2:16" ht="144" customHeight="1">
      <c r="B37" s="198"/>
      <c r="C37" s="198"/>
      <c r="D37" s="198"/>
      <c r="E37" s="198"/>
      <c r="F37" s="198"/>
      <c r="G37" s="197"/>
      <c r="H37" s="202"/>
      <c r="K37" s="196"/>
      <c r="L37" s="196"/>
      <c r="M37" s="196"/>
      <c r="N37" s="196"/>
      <c r="O37" s="196"/>
    </row>
    <row r="38" spans="2:16" ht="15">
      <c r="B38" s="200"/>
      <c r="C38" s="200"/>
      <c r="D38" s="199"/>
      <c r="E38" s="199"/>
      <c r="F38" s="203"/>
      <c r="G38" s="197"/>
      <c r="H38" s="202"/>
    </row>
    <row r="39" spans="2:16" ht="15">
      <c r="B39" s="200"/>
      <c r="C39" s="200"/>
      <c r="D39" s="199"/>
      <c r="E39" s="199"/>
      <c r="F39" s="203"/>
      <c r="G39" s="197"/>
      <c r="H39" s="202"/>
    </row>
    <row r="40" spans="2:16" ht="15">
      <c r="B40" s="200"/>
      <c r="C40" s="200"/>
      <c r="D40" s="199"/>
      <c r="E40" s="199"/>
      <c r="F40" s="203"/>
      <c r="G40" s="197"/>
      <c r="H40" s="202"/>
    </row>
    <row r="41" spans="2:16" ht="15">
      <c r="B41" s="200"/>
      <c r="C41" s="200"/>
      <c r="D41" s="199"/>
      <c r="E41" s="199"/>
      <c r="F41" s="203"/>
      <c r="G41" s="197"/>
      <c r="H41" s="202"/>
    </row>
    <row r="42" spans="2:16" ht="159" customHeight="1">
      <c r="B42" s="200"/>
      <c r="C42" s="200"/>
      <c r="D42" s="199"/>
      <c r="E42" s="199"/>
      <c r="F42" s="203"/>
      <c r="G42" s="197"/>
      <c r="H42" s="202"/>
    </row>
    <row r="43" spans="2:16" ht="15">
      <c r="B43" s="200"/>
      <c r="C43" s="200"/>
      <c r="D43" s="199"/>
      <c r="E43" s="199"/>
      <c r="F43" s="203"/>
      <c r="G43" s="197"/>
      <c r="H43" s="202"/>
    </row>
    <row r="44" spans="2:16" ht="15">
      <c r="B44" s="200"/>
      <c r="C44" s="200"/>
      <c r="D44" s="199"/>
      <c r="E44" s="199"/>
      <c r="F44" s="203"/>
      <c r="G44" s="197"/>
      <c r="H44" s="202"/>
    </row>
    <row r="45" spans="2:16" ht="15">
      <c r="B45" s="200"/>
      <c r="C45" s="200"/>
      <c r="D45" s="199"/>
      <c r="E45" s="199"/>
      <c r="F45" s="203"/>
      <c r="G45" s="197"/>
      <c r="H45" s="202"/>
    </row>
    <row r="46" spans="2:16">
      <c r="B46" s="198"/>
      <c r="C46" s="198"/>
      <c r="D46" s="198"/>
      <c r="E46" s="198"/>
      <c r="F46" s="198"/>
      <c r="G46" s="197"/>
      <c r="H46" s="202"/>
    </row>
    <row r="47" spans="2:16" ht="15">
      <c r="B47" s="200"/>
      <c r="C47" s="200"/>
      <c r="D47" s="199"/>
      <c r="E47" s="199"/>
      <c r="F47" s="199"/>
      <c r="G47" s="197"/>
      <c r="H47" s="202"/>
    </row>
    <row r="48" spans="2:16" ht="15">
      <c r="B48" s="200"/>
      <c r="C48" s="200"/>
      <c r="D48" s="199"/>
      <c r="E48" s="199"/>
      <c r="F48" s="199"/>
      <c r="G48" s="197"/>
      <c r="H48" s="202"/>
    </row>
    <row r="49" spans="2:8" ht="15">
      <c r="B49" s="200"/>
      <c r="C49" s="200"/>
      <c r="D49" s="199"/>
      <c r="E49" s="199"/>
      <c r="F49" s="199"/>
      <c r="G49" s="197"/>
      <c r="H49" s="202"/>
    </row>
    <row r="50" spans="2:8" ht="15">
      <c r="B50" s="200"/>
      <c r="C50" s="200"/>
      <c r="D50" s="199"/>
      <c r="E50" s="199"/>
      <c r="F50" s="199"/>
      <c r="G50" s="197"/>
      <c r="H50" s="202"/>
    </row>
    <row r="51" spans="2:8" ht="15">
      <c r="B51" s="200"/>
      <c r="C51" s="200"/>
      <c r="D51" s="199"/>
      <c r="E51" s="199"/>
      <c r="F51" s="199"/>
      <c r="G51" s="197"/>
      <c r="H51" s="201"/>
    </row>
    <row r="52" spans="2:8" ht="15">
      <c r="B52" s="200"/>
      <c r="C52" s="200"/>
      <c r="D52" s="199"/>
      <c r="E52" s="199"/>
      <c r="F52" s="199"/>
      <c r="G52" s="197"/>
    </row>
    <row r="53" spans="2:8" ht="15">
      <c r="B53" s="200"/>
      <c r="C53" s="200"/>
      <c r="D53" s="199"/>
      <c r="E53" s="199"/>
      <c r="F53" s="199"/>
      <c r="G53" s="197"/>
    </row>
    <row r="54" spans="2:8" ht="15">
      <c r="B54" s="200"/>
      <c r="C54" s="200"/>
      <c r="D54" s="199"/>
      <c r="E54" s="199"/>
      <c r="F54" s="199"/>
      <c r="G54" s="197"/>
    </row>
    <row r="55" spans="2:8">
      <c r="B55" s="198"/>
      <c r="C55" s="198"/>
      <c r="D55" s="198"/>
      <c r="E55" s="198"/>
      <c r="F55" s="198"/>
      <c r="G55" s="197"/>
    </row>
    <row r="56" spans="2:8" ht="15">
      <c r="B56" s="200"/>
      <c r="C56" s="200"/>
      <c r="D56" s="199"/>
      <c r="E56" s="199"/>
      <c r="F56" s="199"/>
      <c r="G56" s="197"/>
    </row>
    <row r="57" spans="2:8" ht="15">
      <c r="B57" s="200"/>
      <c r="C57" s="200"/>
      <c r="D57" s="199"/>
      <c r="E57" s="199"/>
      <c r="F57" s="199"/>
      <c r="G57" s="197"/>
    </row>
    <row r="58" spans="2:8">
      <c r="B58" s="198"/>
      <c r="C58" s="198"/>
      <c r="D58" s="198"/>
      <c r="E58" s="198"/>
      <c r="F58" s="198"/>
      <c r="G58" s="197"/>
    </row>
    <row r="59" spans="2:8">
      <c r="B59" s="198"/>
      <c r="C59" s="198"/>
      <c r="D59" s="198"/>
      <c r="E59" s="198"/>
      <c r="F59" s="198"/>
      <c r="G59" s="197"/>
    </row>
    <row r="60" spans="2:8">
      <c r="B60" s="196"/>
      <c r="C60" s="196"/>
      <c r="D60" s="196"/>
      <c r="E60" s="196"/>
      <c r="F60" s="196"/>
      <c r="G60" s="195"/>
    </row>
    <row r="61" spans="2:8">
      <c r="B61" s="196"/>
      <c r="C61" s="196"/>
      <c r="D61" s="196"/>
      <c r="E61" s="196"/>
      <c r="F61" s="196"/>
      <c r="G61" s="195"/>
    </row>
    <row r="62" spans="2:8">
      <c r="B62" s="196"/>
      <c r="C62" s="196"/>
      <c r="D62" s="196"/>
      <c r="E62" s="196"/>
      <c r="F62" s="196"/>
      <c r="G62" s="195"/>
    </row>
    <row r="63" spans="2:8">
      <c r="C63" s="196"/>
      <c r="D63" s="196"/>
      <c r="E63" s="196"/>
      <c r="F63" s="196"/>
      <c r="G63" s="195"/>
    </row>
    <row r="64" spans="2:8">
      <c r="C64" s="196"/>
      <c r="D64" s="196"/>
      <c r="E64" s="196"/>
      <c r="F64" s="196"/>
      <c r="G64" s="195"/>
    </row>
    <row r="65" spans="3:7">
      <c r="C65" s="196"/>
      <c r="D65" s="196"/>
      <c r="E65" s="196"/>
      <c r="F65" s="196"/>
      <c r="G65" s="195"/>
    </row>
    <row r="66" spans="3:7">
      <c r="E66" s="196"/>
      <c r="F66" s="196"/>
      <c r="G66" s="195"/>
    </row>
    <row r="67" spans="3:7">
      <c r="E67" s="196"/>
      <c r="F67" s="196"/>
      <c r="G67" s="195"/>
    </row>
    <row r="68" spans="3:7">
      <c r="G68" s="195"/>
    </row>
  </sheetData>
  <mergeCells count="5">
    <mergeCell ref="B2:F2"/>
    <mergeCell ref="B3:F3"/>
    <mergeCell ref="B4:F4"/>
    <mergeCell ref="E5:F5"/>
    <mergeCell ref="E6:F6"/>
  </mergeCells>
  <dataValidations count="1">
    <dataValidation type="list" allowBlank="1" showErrorMessage="1" sqref="F1:F3 F58:F144 F7:F19">
      <formula1>$J$2:$J$6</formula1>
      <formula2>0</formula2>
    </dataValidation>
  </dataValidations>
  <pageMargins left="0.74791666666666667" right="0.25" top="0.75" bottom="0.98402777777777772" header="0.5" footer="0.5"/>
  <pageSetup paperSize="9"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8"/>
  <sheetViews>
    <sheetView zoomScale="85" zoomScaleNormal="85" workbookViewId="0">
      <pane ySplit="8" topLeftCell="A9" activePane="bottomLeft" state="frozen"/>
      <selection pane="bottomLeft" activeCell="M11" sqref="M11"/>
    </sheetView>
  </sheetViews>
  <sheetFormatPr defaultColWidth="9" defaultRowHeight="12.75"/>
  <cols>
    <col min="1" max="1" width="11.75" style="37" customWidth="1"/>
    <col min="2" max="2" width="19.125" style="37" customWidth="1"/>
    <col min="3" max="3" width="32.125" style="37" customWidth="1"/>
    <col min="4" max="4" width="28.5" style="37" customWidth="1"/>
    <col min="5" max="5" width="15" style="37" customWidth="1"/>
    <col min="6" max="6" width="7.125" style="37" customWidth="1"/>
    <col min="7" max="7" width="11.75" style="37" customWidth="1"/>
    <col min="8" max="8" width="31.875" style="37" customWidth="1"/>
    <col min="9" max="9" width="8.25" style="38" customWidth="1"/>
    <col min="10" max="10" width="9" style="37" hidden="1" customWidth="1"/>
    <col min="11" max="16384" width="9" style="37"/>
  </cols>
  <sheetData>
    <row r="1" spans="1:17" s="35" customFormat="1">
      <c r="A1" s="39"/>
      <c r="B1" s="40"/>
      <c r="C1" s="40"/>
      <c r="D1" s="40"/>
      <c r="E1" s="40"/>
      <c r="F1" s="41"/>
      <c r="G1" s="42"/>
      <c r="H1" s="43"/>
      <c r="I1" s="113"/>
    </row>
    <row r="2" spans="1:17" s="35" customFormat="1" ht="15" customHeight="1">
      <c r="A2" s="44" t="s">
        <v>26</v>
      </c>
      <c r="B2" s="269" t="s">
        <v>27</v>
      </c>
      <c r="C2" s="269"/>
      <c r="D2" s="269"/>
      <c r="E2" s="269"/>
      <c r="F2" s="269"/>
      <c r="G2" s="45"/>
      <c r="H2" s="43"/>
      <c r="I2" s="113"/>
      <c r="J2" s="35" t="s">
        <v>28</v>
      </c>
    </row>
    <row r="3" spans="1:17" s="35" customFormat="1" ht="25.5" customHeight="1">
      <c r="A3" s="46" t="s">
        <v>29</v>
      </c>
      <c r="B3" s="269" t="s">
        <v>30</v>
      </c>
      <c r="C3" s="269"/>
      <c r="D3" s="269"/>
      <c r="E3" s="269"/>
      <c r="F3" s="269"/>
      <c r="G3" s="45"/>
      <c r="H3" s="43"/>
      <c r="I3" s="113"/>
      <c r="J3" s="35" t="s">
        <v>31</v>
      </c>
    </row>
    <row r="4" spans="1:17" s="35" customFormat="1" ht="18" customHeight="1">
      <c r="A4" s="44" t="s">
        <v>32</v>
      </c>
      <c r="B4" s="270"/>
      <c r="C4" s="270"/>
      <c r="D4" s="270"/>
      <c r="E4" s="270"/>
      <c r="F4" s="270"/>
      <c r="G4" s="45"/>
      <c r="H4" s="43"/>
      <c r="I4" s="113"/>
      <c r="J4" s="114"/>
    </row>
    <row r="5" spans="1:17" s="35" customFormat="1" ht="19.5" customHeight="1">
      <c r="A5" s="47" t="s">
        <v>28</v>
      </c>
      <c r="B5" s="48" t="s">
        <v>31</v>
      </c>
      <c r="C5" s="48" t="s">
        <v>33</v>
      </c>
      <c r="D5" s="49" t="s">
        <v>34</v>
      </c>
      <c r="E5" s="271" t="s">
        <v>35</v>
      </c>
      <c r="F5" s="271"/>
      <c r="G5" s="50"/>
      <c r="H5" s="50"/>
      <c r="I5" s="115"/>
      <c r="J5" s="35" t="s">
        <v>36</v>
      </c>
    </row>
    <row r="6" spans="1:17" s="35" customFormat="1" ht="15" customHeight="1">
      <c r="A6" s="51">
        <f>COUNTIF(F9:F997,"Pass")</f>
        <v>7</v>
      </c>
      <c r="B6" s="52">
        <f>COUNTIF(F9:F997,"Fail")</f>
        <v>0</v>
      </c>
      <c r="C6" s="52">
        <f>E6-D6-B6-A6</f>
        <v>0</v>
      </c>
      <c r="D6" s="53">
        <f>COUNTIF(F$9:F$997,"N/A")</f>
        <v>0</v>
      </c>
      <c r="E6" s="272">
        <f>COUNTA(A9:A997)</f>
        <v>7</v>
      </c>
      <c r="F6" s="272"/>
      <c r="G6" s="50"/>
      <c r="H6" s="50"/>
      <c r="I6" s="115"/>
      <c r="J6" s="35" t="s">
        <v>34</v>
      </c>
    </row>
    <row r="7" spans="1:17" s="35" customFormat="1" ht="15" customHeight="1">
      <c r="D7" s="54"/>
      <c r="E7" s="54"/>
      <c r="F7" s="50"/>
      <c r="G7" s="50"/>
      <c r="H7" s="50"/>
      <c r="I7" s="115"/>
    </row>
    <row r="8" spans="1:17" s="35" customFormat="1" ht="25.5" customHeight="1">
      <c r="A8" s="55" t="s">
        <v>37</v>
      </c>
      <c r="B8" s="55" t="s">
        <v>38</v>
      </c>
      <c r="C8" s="55" t="s">
        <v>39</v>
      </c>
      <c r="D8" s="55" t="s">
        <v>40</v>
      </c>
      <c r="E8" s="56" t="s">
        <v>41</v>
      </c>
      <c r="F8" s="56" t="s">
        <v>42</v>
      </c>
      <c r="G8" s="56" t="s">
        <v>41</v>
      </c>
      <c r="H8" s="57" t="s">
        <v>24</v>
      </c>
      <c r="I8" s="116"/>
    </row>
    <row r="9" spans="1:17" s="36" customFormat="1" ht="99.75">
      <c r="A9" s="58" t="s">
        <v>43</v>
      </c>
      <c r="B9" s="58" t="s">
        <v>44</v>
      </c>
      <c r="C9" s="58" t="s">
        <v>45</v>
      </c>
      <c r="D9" s="58" t="s">
        <v>46</v>
      </c>
      <c r="E9" s="58" t="s">
        <v>47</v>
      </c>
      <c r="F9" s="59" t="s">
        <v>28</v>
      </c>
      <c r="G9" s="60"/>
      <c r="H9" s="61"/>
      <c r="I9" s="117"/>
      <c r="K9" s="118"/>
      <c r="L9" s="118"/>
      <c r="M9" s="118"/>
      <c r="N9" s="118"/>
      <c r="O9" s="118"/>
      <c r="P9" s="118"/>
    </row>
    <row r="10" spans="1:17" s="36" customFormat="1" ht="99.75">
      <c r="A10" s="58" t="s">
        <v>48</v>
      </c>
      <c r="B10" s="58" t="s">
        <v>49</v>
      </c>
      <c r="C10" s="58" t="s">
        <v>50</v>
      </c>
      <c r="D10" s="58" t="s">
        <v>51</v>
      </c>
      <c r="E10" s="58" t="s">
        <v>34</v>
      </c>
      <c r="F10" s="59" t="s">
        <v>28</v>
      </c>
      <c r="G10" s="60"/>
      <c r="H10" s="61"/>
      <c r="I10" s="117"/>
      <c r="K10" s="119"/>
      <c r="L10" s="120"/>
      <c r="M10" s="120"/>
      <c r="N10" s="120"/>
      <c r="O10" s="120"/>
      <c r="P10" s="120"/>
    </row>
    <row r="11" spans="1:17" ht="99.75">
      <c r="A11" s="58" t="s">
        <v>52</v>
      </c>
      <c r="B11" s="58" t="s">
        <v>53</v>
      </c>
      <c r="C11" s="58" t="s">
        <v>54</v>
      </c>
      <c r="D11" s="58" t="s">
        <v>55</v>
      </c>
      <c r="E11" s="58" t="s">
        <v>34</v>
      </c>
      <c r="F11" s="62" t="s">
        <v>28</v>
      </c>
      <c r="G11" s="63"/>
      <c r="H11" s="64"/>
      <c r="I11" s="117"/>
      <c r="K11" s="121"/>
      <c r="L11" s="118"/>
      <c r="M11" s="122"/>
      <c r="N11" s="123"/>
      <c r="O11" s="123"/>
      <c r="P11" s="124"/>
    </row>
    <row r="12" spans="1:17" ht="129.75" customHeight="1">
      <c r="A12" s="58" t="s">
        <v>56</v>
      </c>
      <c r="B12" s="58" t="s">
        <v>57</v>
      </c>
      <c r="C12" s="58" t="s">
        <v>58</v>
      </c>
      <c r="D12" s="58" t="s">
        <v>59</v>
      </c>
      <c r="E12" s="58" t="s">
        <v>60</v>
      </c>
      <c r="F12" s="62" t="s">
        <v>28</v>
      </c>
      <c r="G12" s="63"/>
      <c r="H12" s="64"/>
      <c r="I12" s="117"/>
      <c r="K12" s="118"/>
      <c r="L12" s="118"/>
      <c r="M12" s="122"/>
      <c r="N12" s="123"/>
      <c r="O12" s="123"/>
      <c r="P12" s="124"/>
    </row>
    <row r="13" spans="1:17" s="35" customFormat="1" ht="114">
      <c r="A13" s="58" t="s">
        <v>61</v>
      </c>
      <c r="B13" s="58" t="s">
        <v>62</v>
      </c>
      <c r="C13" s="58" t="s">
        <v>63</v>
      </c>
      <c r="D13" s="58" t="s">
        <v>64</v>
      </c>
      <c r="E13" s="58" t="s">
        <v>65</v>
      </c>
      <c r="F13" s="62" t="s">
        <v>28</v>
      </c>
      <c r="G13" s="63"/>
      <c r="H13" s="64"/>
      <c r="I13" s="125"/>
      <c r="K13" s="118"/>
      <c r="L13" s="118"/>
      <c r="M13" s="122"/>
      <c r="N13" s="123"/>
      <c r="O13" s="123"/>
      <c r="P13" s="124"/>
      <c r="Q13" s="132"/>
    </row>
    <row r="14" spans="1:17" ht="114">
      <c r="A14" s="58" t="s">
        <v>66</v>
      </c>
      <c r="B14" s="58" t="s">
        <v>67</v>
      </c>
      <c r="C14" s="58" t="s">
        <v>68</v>
      </c>
      <c r="D14" s="58" t="s">
        <v>69</v>
      </c>
      <c r="E14" s="58" t="s">
        <v>70</v>
      </c>
      <c r="F14" s="65" t="s">
        <v>28</v>
      </c>
      <c r="G14" s="66"/>
      <c r="H14" s="67"/>
      <c r="I14" s="117"/>
      <c r="K14" s="126"/>
      <c r="L14" s="118"/>
      <c r="M14" s="127"/>
      <c r="N14" s="128"/>
      <c r="O14" s="128"/>
      <c r="P14" s="124"/>
    </row>
    <row r="15" spans="1:17" ht="99.75">
      <c r="A15" s="68" t="s">
        <v>71</v>
      </c>
      <c r="B15" s="68" t="s">
        <v>72</v>
      </c>
      <c r="C15" s="68" t="s">
        <v>73</v>
      </c>
      <c r="D15" s="68" t="s">
        <v>74</v>
      </c>
      <c r="E15" s="68" t="s">
        <v>75</v>
      </c>
      <c r="F15" s="69" t="s">
        <v>28</v>
      </c>
      <c r="G15" s="70"/>
      <c r="H15" s="71"/>
      <c r="I15" s="129"/>
      <c r="K15" s="130"/>
      <c r="L15" s="130"/>
      <c r="M15" s="130"/>
      <c r="N15" s="130"/>
      <c r="O15" s="130"/>
      <c r="P15" s="130"/>
    </row>
    <row r="16" spans="1:17" s="35" customFormat="1" ht="15.75" customHeight="1">
      <c r="A16" s="72"/>
      <c r="B16" s="72"/>
      <c r="C16" s="72"/>
      <c r="D16" s="72"/>
      <c r="E16" s="72"/>
      <c r="F16" s="72"/>
      <c r="G16" s="72"/>
      <c r="H16" s="73"/>
      <c r="I16" s="125"/>
      <c r="K16" s="118"/>
      <c r="L16" s="118"/>
      <c r="M16" s="122"/>
      <c r="N16" s="123"/>
      <c r="O16" s="123"/>
      <c r="P16" s="124"/>
    </row>
    <row r="17" spans="2:16" ht="15">
      <c r="I17" s="117"/>
      <c r="K17" s="118"/>
      <c r="L17" s="118"/>
      <c r="M17" s="122"/>
      <c r="N17" s="123"/>
      <c r="O17" s="123"/>
      <c r="P17" s="124"/>
    </row>
    <row r="18" spans="2:16" ht="12.75" customHeight="1">
      <c r="B18" s="74"/>
      <c r="C18" s="75"/>
      <c r="D18" s="76"/>
      <c r="E18" s="77"/>
      <c r="F18" s="78"/>
      <c r="G18" s="79"/>
      <c r="H18" s="80"/>
      <c r="K18" s="118"/>
      <c r="L18" s="118"/>
      <c r="M18" s="122"/>
      <c r="N18" s="123"/>
      <c r="O18" s="123"/>
      <c r="P18" s="124"/>
    </row>
    <row r="19" spans="2:16" ht="15">
      <c r="B19" s="81"/>
      <c r="C19" s="82"/>
      <c r="D19" s="83"/>
      <c r="E19" s="84"/>
      <c r="F19" s="85"/>
      <c r="G19" s="86"/>
      <c r="H19" s="87"/>
      <c r="K19" s="118"/>
      <c r="L19" s="118"/>
      <c r="M19" s="127"/>
      <c r="N19" s="128"/>
      <c r="O19" s="128"/>
      <c r="P19" s="124"/>
    </row>
    <row r="20" spans="2:16" ht="16.5" customHeight="1">
      <c r="B20" s="88"/>
      <c r="C20" s="89"/>
      <c r="D20" s="90"/>
      <c r="E20" s="90"/>
      <c r="F20" s="90"/>
      <c r="G20" s="86"/>
      <c r="H20" s="87"/>
      <c r="K20" s="130"/>
      <c r="L20" s="130"/>
      <c r="M20" s="130"/>
      <c r="N20" s="130"/>
      <c r="O20" s="130"/>
      <c r="P20" s="130"/>
    </row>
    <row r="21" spans="2:16" ht="16.5" customHeight="1">
      <c r="B21" s="91"/>
      <c r="C21" s="92"/>
      <c r="D21" s="93"/>
      <c r="E21" s="93"/>
      <c r="F21" s="93"/>
      <c r="G21" s="86"/>
      <c r="H21" s="87"/>
      <c r="K21" s="118"/>
      <c r="L21" s="118"/>
      <c r="M21" s="122"/>
      <c r="N21" s="123"/>
      <c r="O21" s="123"/>
      <c r="P21" s="124"/>
    </row>
    <row r="22" spans="2:16" ht="15">
      <c r="B22" s="94"/>
      <c r="C22" s="92"/>
      <c r="D22" s="95"/>
      <c r="E22" s="95"/>
      <c r="F22" s="96"/>
      <c r="G22" s="86"/>
      <c r="H22" s="87"/>
      <c r="K22" s="118"/>
      <c r="L22" s="118"/>
      <c r="M22" s="122"/>
      <c r="N22" s="123"/>
      <c r="O22" s="123"/>
      <c r="P22" s="124"/>
    </row>
    <row r="23" spans="2:16" ht="15">
      <c r="B23" s="94"/>
      <c r="C23" s="92"/>
      <c r="D23" s="95"/>
      <c r="E23" s="95"/>
      <c r="F23" s="96"/>
      <c r="G23" s="86"/>
      <c r="H23" s="87"/>
      <c r="K23" s="118"/>
      <c r="L23" s="118"/>
      <c r="M23" s="122"/>
      <c r="N23" s="123"/>
      <c r="O23" s="123"/>
      <c r="P23" s="124"/>
    </row>
    <row r="24" spans="2:16" ht="15">
      <c r="B24" s="94"/>
      <c r="C24" s="92"/>
      <c r="D24" s="95"/>
      <c r="E24" s="95"/>
      <c r="F24" s="96"/>
      <c r="G24" s="86"/>
      <c r="H24" s="87"/>
      <c r="K24" s="118"/>
      <c r="L24" s="118"/>
      <c r="M24" s="122"/>
      <c r="N24" s="123"/>
      <c r="O24" s="123"/>
      <c r="P24" s="124"/>
    </row>
    <row r="25" spans="2:16" ht="15">
      <c r="B25" s="94"/>
      <c r="C25" s="92"/>
      <c r="D25" s="95"/>
      <c r="E25" s="95"/>
      <c r="F25" s="96"/>
      <c r="G25" s="86"/>
      <c r="H25" s="87"/>
      <c r="K25" s="130"/>
      <c r="L25" s="118"/>
      <c r="M25" s="122"/>
      <c r="N25" s="123"/>
      <c r="O25" s="123"/>
      <c r="P25" s="124"/>
    </row>
    <row r="26" spans="2:16" ht="15">
      <c r="B26" s="94"/>
      <c r="C26" s="92"/>
      <c r="D26" s="95"/>
      <c r="E26" s="95"/>
      <c r="F26" s="96"/>
      <c r="G26" s="86"/>
      <c r="H26" s="97"/>
      <c r="K26" s="118"/>
      <c r="L26" s="118"/>
      <c r="M26" s="122"/>
      <c r="N26" s="123"/>
      <c r="O26" s="123"/>
      <c r="P26" s="124"/>
    </row>
    <row r="27" spans="2:16" ht="43.5" customHeight="1">
      <c r="B27" s="94"/>
      <c r="C27" s="92"/>
      <c r="D27" s="95"/>
      <c r="E27" s="95"/>
      <c r="F27" s="96"/>
      <c r="G27" s="86"/>
      <c r="H27" s="87"/>
      <c r="K27" s="118"/>
      <c r="L27" s="118"/>
      <c r="M27" s="122"/>
      <c r="N27" s="123"/>
      <c r="O27" s="123"/>
      <c r="P27" s="124"/>
    </row>
    <row r="28" spans="2:16" ht="30.75" customHeight="1">
      <c r="B28" s="91"/>
      <c r="C28" s="93"/>
      <c r="D28" s="93"/>
      <c r="E28" s="93"/>
      <c r="F28" s="93"/>
      <c r="G28" s="86"/>
      <c r="H28" s="87"/>
      <c r="K28" s="130"/>
      <c r="L28" s="118"/>
      <c r="M28" s="127"/>
      <c r="N28" s="128"/>
      <c r="O28" s="128"/>
      <c r="P28" s="124"/>
    </row>
    <row r="29" spans="2:16" ht="15">
      <c r="B29" s="94"/>
      <c r="C29" s="90"/>
      <c r="D29" s="95"/>
      <c r="E29" s="95"/>
      <c r="F29" s="95"/>
      <c r="G29" s="86"/>
      <c r="H29" s="87"/>
      <c r="K29" s="122"/>
      <c r="L29" s="130"/>
      <c r="M29" s="130"/>
      <c r="N29" s="130"/>
      <c r="O29" s="130"/>
      <c r="P29" s="130"/>
    </row>
    <row r="30" spans="2:16" ht="15">
      <c r="B30" s="94"/>
      <c r="C30" s="90"/>
      <c r="D30" s="95"/>
      <c r="E30" s="95"/>
      <c r="F30" s="95"/>
      <c r="G30" s="86"/>
      <c r="H30" s="87"/>
      <c r="K30" s="122"/>
      <c r="L30" s="118"/>
      <c r="M30" s="122"/>
      <c r="N30" s="123"/>
      <c r="O30" s="123"/>
      <c r="P30" s="124"/>
    </row>
    <row r="31" spans="2:16" ht="15">
      <c r="B31" s="94"/>
      <c r="C31" s="90"/>
      <c r="D31" s="95"/>
      <c r="E31" s="95"/>
      <c r="F31" s="98"/>
      <c r="G31" s="86"/>
      <c r="H31" s="87"/>
      <c r="K31" s="122"/>
      <c r="L31" s="118"/>
      <c r="M31" s="122"/>
      <c r="N31" s="123"/>
      <c r="O31" s="123"/>
      <c r="P31" s="124"/>
    </row>
    <row r="32" spans="2:16" ht="144" customHeight="1">
      <c r="B32" s="99"/>
      <c r="C32" s="100"/>
      <c r="D32" s="101"/>
      <c r="E32" s="101"/>
      <c r="F32" s="102"/>
      <c r="G32" s="103"/>
      <c r="H32" s="97"/>
      <c r="K32" s="122"/>
      <c r="L32" s="118"/>
      <c r="M32" s="123"/>
      <c r="N32" s="123"/>
      <c r="O32" s="123"/>
      <c r="P32" s="124"/>
    </row>
    <row r="33" spans="2:16" ht="87" customHeight="1">
      <c r="B33" s="94"/>
      <c r="C33" s="90"/>
      <c r="D33" s="95"/>
      <c r="E33" s="95"/>
      <c r="F33" s="98"/>
      <c r="G33" s="104"/>
      <c r="H33" s="105"/>
      <c r="I33" s="131"/>
      <c r="J33" s="112"/>
      <c r="K33" s="122"/>
      <c r="L33" s="118"/>
      <c r="M33" s="123"/>
      <c r="N33" s="123"/>
      <c r="O33" s="123"/>
      <c r="P33" s="124"/>
    </row>
    <row r="34" spans="2:16" ht="15">
      <c r="B34" s="94"/>
      <c r="C34" s="90"/>
      <c r="D34" s="95"/>
      <c r="E34" s="95"/>
      <c r="F34" s="98"/>
      <c r="G34" s="104"/>
      <c r="H34" s="87"/>
      <c r="K34" s="127"/>
      <c r="L34" s="118"/>
      <c r="M34" s="123"/>
      <c r="N34" s="123"/>
      <c r="O34" s="123"/>
      <c r="P34" s="124"/>
    </row>
    <row r="35" spans="2:16" ht="15">
      <c r="B35" s="94"/>
      <c r="C35" s="90"/>
      <c r="D35" s="95"/>
      <c r="E35" s="95"/>
      <c r="F35" s="98"/>
      <c r="G35" s="104"/>
      <c r="H35" s="87"/>
      <c r="K35" s="112"/>
      <c r="L35" s="118"/>
      <c r="M35" s="128"/>
      <c r="N35" s="128"/>
      <c r="O35" s="128"/>
      <c r="P35" s="124"/>
    </row>
    <row r="36" spans="2:16" ht="15.75" customHeight="1">
      <c r="B36" s="94"/>
      <c r="C36" s="90"/>
      <c r="D36" s="95"/>
      <c r="E36" s="95"/>
      <c r="F36" s="98"/>
      <c r="G36" s="104"/>
      <c r="H36" s="87"/>
      <c r="K36" s="112"/>
      <c r="L36" s="130"/>
      <c r="M36" s="130"/>
      <c r="N36" s="130"/>
      <c r="O36" s="130"/>
      <c r="P36" s="130"/>
    </row>
    <row r="37" spans="2:16" ht="144" customHeight="1">
      <c r="B37" s="91"/>
      <c r="C37" s="93"/>
      <c r="D37" s="93"/>
      <c r="E37" s="93"/>
      <c r="F37" s="93"/>
      <c r="G37" s="104"/>
      <c r="H37" s="87"/>
      <c r="K37" s="112"/>
      <c r="L37" s="118"/>
      <c r="M37" s="122"/>
      <c r="N37" s="123"/>
      <c r="O37" s="123"/>
      <c r="P37" s="124"/>
    </row>
    <row r="38" spans="2:16" ht="15">
      <c r="B38" s="94"/>
      <c r="C38" s="90"/>
      <c r="D38" s="95"/>
      <c r="E38" s="95"/>
      <c r="F38" s="96"/>
      <c r="G38" s="104"/>
      <c r="H38" s="87"/>
      <c r="L38" s="118"/>
      <c r="M38" s="122"/>
      <c r="N38" s="123"/>
      <c r="O38" s="123"/>
      <c r="P38" s="124"/>
    </row>
    <row r="39" spans="2:16" ht="15">
      <c r="B39" s="94"/>
      <c r="C39" s="90"/>
      <c r="D39" s="95"/>
      <c r="E39" s="95"/>
      <c r="F39" s="96"/>
      <c r="G39" s="104"/>
      <c r="H39" s="87"/>
      <c r="L39" s="118"/>
      <c r="M39" s="122"/>
      <c r="N39" s="123"/>
      <c r="O39" s="123"/>
      <c r="P39" s="124"/>
    </row>
    <row r="40" spans="2:16" ht="87" customHeight="1">
      <c r="B40" s="94"/>
      <c r="C40" s="90"/>
      <c r="D40" s="95"/>
      <c r="E40" s="95"/>
      <c r="F40" s="96"/>
      <c r="G40" s="104"/>
      <c r="H40" s="87"/>
      <c r="L40" s="118"/>
      <c r="M40" s="127"/>
      <c r="N40" s="128"/>
      <c r="O40" s="128"/>
      <c r="P40" s="124"/>
    </row>
    <row r="41" spans="2:16" ht="15">
      <c r="B41" s="94"/>
      <c r="C41" s="90"/>
      <c r="D41" s="95"/>
      <c r="E41" s="95"/>
      <c r="F41" s="96"/>
      <c r="G41" s="104"/>
      <c r="H41" s="87"/>
      <c r="L41" s="130"/>
      <c r="M41" s="130"/>
      <c r="N41" s="130"/>
      <c r="O41" s="130"/>
      <c r="P41" s="130"/>
    </row>
    <row r="42" spans="2:16" ht="159" customHeight="1">
      <c r="B42" s="94"/>
      <c r="C42" s="90"/>
      <c r="D42" s="95"/>
      <c r="E42" s="95"/>
      <c r="F42" s="96"/>
      <c r="G42" s="104"/>
      <c r="H42" s="87"/>
      <c r="L42" s="130"/>
      <c r="M42" s="130"/>
      <c r="N42" s="130"/>
      <c r="O42" s="130"/>
      <c r="P42" s="130"/>
    </row>
    <row r="43" spans="2:16" ht="15">
      <c r="B43" s="94"/>
      <c r="C43" s="90"/>
      <c r="D43" s="95"/>
      <c r="E43" s="95"/>
      <c r="F43" s="96"/>
      <c r="G43" s="104"/>
      <c r="H43" s="87"/>
      <c r="L43" s="118"/>
      <c r="M43" s="122"/>
      <c r="N43" s="123"/>
      <c r="O43" s="123"/>
      <c r="P43" s="124"/>
    </row>
    <row r="44" spans="2:16" ht="15">
      <c r="B44" s="94"/>
      <c r="C44" s="90"/>
      <c r="D44" s="95"/>
      <c r="E44" s="95"/>
      <c r="F44" s="96"/>
      <c r="G44" s="104"/>
      <c r="H44" s="87"/>
      <c r="L44" s="118"/>
      <c r="M44" s="122"/>
      <c r="N44" s="123"/>
      <c r="O44" s="123"/>
      <c r="P44" s="124"/>
    </row>
    <row r="45" spans="2:16" ht="15">
      <c r="B45" s="94"/>
      <c r="C45" s="90"/>
      <c r="D45" s="95"/>
      <c r="E45" s="95"/>
      <c r="F45" s="96"/>
      <c r="G45" s="104"/>
      <c r="H45" s="87"/>
      <c r="L45" s="118"/>
      <c r="M45" s="122"/>
      <c r="N45" s="123"/>
      <c r="O45" s="123"/>
      <c r="P45" s="124"/>
    </row>
    <row r="46" spans="2:16" ht="15">
      <c r="B46" s="91"/>
      <c r="C46" s="93"/>
      <c r="D46" s="93"/>
      <c r="E46" s="93"/>
      <c r="F46" s="93"/>
      <c r="G46" s="104"/>
      <c r="H46" s="87"/>
      <c r="L46" s="118"/>
      <c r="M46" s="122"/>
      <c r="N46" s="123"/>
      <c r="O46" s="123"/>
      <c r="P46" s="124"/>
    </row>
    <row r="47" spans="2:16" ht="15">
      <c r="B47" s="94"/>
      <c r="C47" s="90"/>
      <c r="D47" s="95"/>
      <c r="E47" s="95"/>
      <c r="F47" s="95"/>
      <c r="G47" s="104"/>
      <c r="H47" s="87"/>
      <c r="L47" s="118"/>
      <c r="M47" s="127"/>
      <c r="N47" s="128"/>
      <c r="O47" s="128"/>
      <c r="P47" s="124"/>
    </row>
    <row r="48" spans="2:16" ht="15">
      <c r="B48" s="94"/>
      <c r="C48" s="90"/>
      <c r="D48" s="95"/>
      <c r="E48" s="95"/>
      <c r="F48" s="95"/>
      <c r="G48" s="104"/>
      <c r="H48" s="87"/>
      <c r="L48" s="130"/>
      <c r="M48" s="130"/>
      <c r="N48" s="130"/>
      <c r="O48" s="130"/>
      <c r="P48" s="130"/>
    </row>
    <row r="49" spans="2:16" ht="15">
      <c r="B49" s="94"/>
      <c r="C49" s="90"/>
      <c r="D49" s="95"/>
      <c r="E49" s="95"/>
      <c r="F49" s="95"/>
      <c r="G49" s="104"/>
      <c r="H49" s="87"/>
      <c r="L49" s="118"/>
      <c r="M49" s="122"/>
      <c r="N49" s="123"/>
      <c r="O49" s="123"/>
      <c r="P49" s="124"/>
    </row>
    <row r="50" spans="2:16" ht="15">
      <c r="B50" s="94"/>
      <c r="C50" s="90"/>
      <c r="D50" s="95"/>
      <c r="E50" s="95"/>
      <c r="F50" s="95"/>
      <c r="G50" s="104"/>
      <c r="H50" s="87"/>
      <c r="L50" s="118"/>
      <c r="M50" s="122"/>
      <c r="N50" s="123"/>
      <c r="O50" s="123"/>
      <c r="P50" s="124"/>
    </row>
    <row r="51" spans="2:16" ht="15">
      <c r="B51" s="106"/>
      <c r="C51" s="107"/>
      <c r="D51" s="108"/>
      <c r="E51" s="108"/>
      <c r="F51" s="108"/>
      <c r="G51" s="109"/>
      <c r="H51" s="110"/>
      <c r="L51" s="118"/>
      <c r="M51" s="122"/>
      <c r="N51" s="123"/>
      <c r="O51" s="123"/>
      <c r="P51" s="124"/>
    </row>
    <row r="52" spans="2:16" ht="15">
      <c r="B52" s="94"/>
      <c r="C52" s="90"/>
      <c r="D52" s="95"/>
      <c r="E52" s="95"/>
      <c r="F52" s="95"/>
      <c r="G52" s="104"/>
      <c r="L52" s="118"/>
      <c r="M52" s="127"/>
      <c r="N52" s="128"/>
      <c r="O52" s="128"/>
      <c r="P52" s="124"/>
    </row>
    <row r="53" spans="2:16" ht="15">
      <c r="B53" s="94"/>
      <c r="C53" s="90"/>
      <c r="D53" s="95"/>
      <c r="E53" s="95"/>
      <c r="F53" s="95"/>
      <c r="G53" s="104"/>
    </row>
    <row r="54" spans="2:16" ht="15">
      <c r="B54" s="94"/>
      <c r="C54" s="90"/>
      <c r="D54" s="95"/>
      <c r="E54" s="95"/>
      <c r="F54" s="95"/>
      <c r="G54" s="104"/>
    </row>
    <row r="55" spans="2:16">
      <c r="B55" s="91"/>
      <c r="C55" s="93"/>
      <c r="D55" s="93"/>
      <c r="E55" s="93"/>
      <c r="F55" s="93"/>
      <c r="G55" s="104"/>
    </row>
    <row r="56" spans="2:16" ht="15">
      <c r="B56" s="94"/>
      <c r="C56" s="90"/>
      <c r="D56" s="95"/>
      <c r="E56" s="95"/>
      <c r="F56" s="95"/>
      <c r="G56" s="104"/>
    </row>
    <row r="57" spans="2:16" ht="15">
      <c r="B57" s="94"/>
      <c r="C57" s="90"/>
      <c r="D57" s="95"/>
      <c r="E57" s="95"/>
      <c r="F57" s="95"/>
      <c r="G57" s="104"/>
    </row>
    <row r="58" spans="2:16">
      <c r="B58" s="91"/>
      <c r="C58" s="93"/>
      <c r="D58" s="93"/>
      <c r="E58" s="93"/>
      <c r="F58" s="93"/>
      <c r="G58" s="104"/>
    </row>
    <row r="59" spans="2:16">
      <c r="B59" s="111"/>
      <c r="C59" s="84"/>
      <c r="D59" s="84"/>
      <c r="E59" s="84"/>
      <c r="F59" s="84"/>
      <c r="G59" s="109"/>
    </row>
    <row r="60" spans="2:16">
      <c r="B60" s="112"/>
      <c r="C60" s="112"/>
      <c r="D60" s="112"/>
      <c r="E60" s="112"/>
      <c r="F60" s="112"/>
      <c r="G60" s="112"/>
    </row>
    <row r="61" spans="2:16">
      <c r="B61" s="112"/>
      <c r="C61" s="112"/>
      <c r="D61" s="112"/>
      <c r="E61" s="112"/>
      <c r="F61" s="112"/>
      <c r="G61" s="112"/>
    </row>
    <row r="62" spans="2:16">
      <c r="B62" s="112"/>
      <c r="C62" s="112"/>
      <c r="D62" s="112"/>
      <c r="E62" s="112"/>
      <c r="F62" s="112"/>
      <c r="G62" s="112"/>
    </row>
    <row r="63" spans="2:16">
      <c r="C63" s="112"/>
      <c r="D63" s="112"/>
      <c r="E63" s="112"/>
      <c r="F63" s="112"/>
      <c r="G63" s="112"/>
    </row>
    <row r="64" spans="2:16">
      <c r="C64" s="112"/>
      <c r="D64" s="112"/>
      <c r="E64" s="112"/>
      <c r="F64" s="112"/>
      <c r="G64" s="112"/>
    </row>
    <row r="65" spans="3:7">
      <c r="C65" s="112"/>
      <c r="D65" s="112"/>
      <c r="E65" s="112"/>
      <c r="F65" s="112"/>
      <c r="G65" s="112"/>
    </row>
    <row r="66" spans="3:7">
      <c r="E66" s="112"/>
      <c r="F66" s="112"/>
      <c r="G66" s="112"/>
    </row>
    <row r="67" spans="3:7">
      <c r="E67" s="112"/>
      <c r="F67" s="112"/>
      <c r="G67" s="112"/>
    </row>
    <row r="68" spans="3:7">
      <c r="G68" s="112"/>
    </row>
  </sheetData>
  <mergeCells count="5">
    <mergeCell ref="B2:F2"/>
    <mergeCell ref="B3:F3"/>
    <mergeCell ref="B4:F4"/>
    <mergeCell ref="E5:F5"/>
    <mergeCell ref="E6:F6"/>
  </mergeCells>
  <dataValidations count="1">
    <dataValidation type="list" allowBlank="1" showErrorMessage="1" sqref="F1:F3 F7:F12 F13:F19 F58:F144">
      <formula1>$J$2:$J$6</formula1>
    </dataValidation>
  </dataValidations>
  <pageMargins left="0.74791666666666701" right="0.25" top="0.75" bottom="0.98402777777777795" header="0.5" footer="0.5"/>
  <pageSetup paperSize="9"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
  <sheetViews>
    <sheetView workbookViewId="0">
      <selection activeCell="H17" sqref="H17"/>
    </sheetView>
  </sheetViews>
  <sheetFormatPr defaultColWidth="9" defaultRowHeight="12.75"/>
  <cols>
    <col min="1" max="1" width="9" style="1"/>
    <col min="2" max="2" width="13.5" style="1" customWidth="1"/>
    <col min="3" max="3" width="19.375" style="1" customWidth="1"/>
    <col min="4" max="7" width="9" style="1"/>
    <col min="8" max="9" width="33.125" style="1" customWidth="1"/>
    <col min="10" max="16384" width="9" style="1"/>
  </cols>
  <sheetData>
    <row r="1" spans="1:8" ht="25.5" customHeight="1">
      <c r="B1" s="275" t="s">
        <v>76</v>
      </c>
      <c r="C1" s="275"/>
      <c r="D1" s="275"/>
      <c r="E1" s="275"/>
      <c r="F1" s="275"/>
      <c r="G1" s="275"/>
      <c r="H1" s="275"/>
    </row>
    <row r="2" spans="1:8" ht="14.25" customHeight="1">
      <c r="A2" s="2"/>
      <c r="B2" s="2"/>
      <c r="C2" s="3"/>
      <c r="D2" s="3"/>
      <c r="E2" s="3"/>
      <c r="F2" s="3"/>
      <c r="G2" s="3"/>
      <c r="H2" s="4"/>
    </row>
    <row r="3" spans="1:8" ht="12" customHeight="1">
      <c r="B3" s="5" t="s">
        <v>1</v>
      </c>
      <c r="C3" s="262" t="s">
        <v>2</v>
      </c>
      <c r="D3" s="262"/>
      <c r="E3" s="273" t="s">
        <v>3</v>
      </c>
      <c r="F3" s="273"/>
      <c r="G3" s="7"/>
      <c r="H3" s="8"/>
    </row>
    <row r="4" spans="1:8" ht="12" customHeight="1">
      <c r="B4" s="5" t="s">
        <v>4</v>
      </c>
      <c r="C4" s="262" t="s">
        <v>5</v>
      </c>
      <c r="D4" s="262"/>
      <c r="E4" s="273" t="s">
        <v>6</v>
      </c>
      <c r="F4" s="273"/>
      <c r="G4" s="7"/>
      <c r="H4" s="8"/>
    </row>
    <row r="5" spans="1:8" ht="12" customHeight="1">
      <c r="B5" s="9" t="s">
        <v>7</v>
      </c>
      <c r="C5" s="262" t="str">
        <f>C4&amp;"_"&amp;"Test Report"&amp;"_"&amp;"vx.x"</f>
        <v>&lt;Project Code&gt;_Test Report_vx.x</v>
      </c>
      <c r="D5" s="262"/>
      <c r="E5" s="273" t="s">
        <v>8</v>
      </c>
      <c r="F5" s="273"/>
      <c r="G5" s="7"/>
      <c r="H5" s="10" t="s">
        <v>77</v>
      </c>
    </row>
    <row r="6" spans="1:8" ht="21.75" customHeight="1">
      <c r="A6" s="2"/>
      <c r="B6" s="9" t="s">
        <v>78</v>
      </c>
      <c r="C6" s="274" t="s">
        <v>79</v>
      </c>
      <c r="D6" s="274"/>
      <c r="E6" s="274"/>
      <c r="F6" s="274"/>
      <c r="G6" s="274"/>
      <c r="H6" s="274"/>
    </row>
    <row r="7" spans="1:8" ht="14.25" customHeight="1">
      <c r="A7" s="2"/>
      <c r="B7" s="11"/>
      <c r="C7" s="12"/>
      <c r="D7" s="3"/>
      <c r="E7" s="3"/>
      <c r="F7" s="3"/>
      <c r="G7" s="3"/>
      <c r="H7" s="4"/>
    </row>
    <row r="8" spans="1:8">
      <c r="B8" s="11"/>
      <c r="C8" s="12"/>
      <c r="D8" s="3"/>
      <c r="E8" s="3"/>
      <c r="F8" s="3"/>
      <c r="G8" s="3"/>
      <c r="H8" s="4"/>
    </row>
    <row r="9" spans="1:8">
      <c r="A9" s="13"/>
      <c r="B9" s="13"/>
      <c r="C9" s="13"/>
      <c r="D9" s="13"/>
      <c r="E9" s="13"/>
      <c r="F9" s="13"/>
      <c r="G9" s="13"/>
      <c r="H9" s="13"/>
    </row>
    <row r="10" spans="1:8">
      <c r="A10" s="14"/>
      <c r="B10" s="15" t="s">
        <v>21</v>
      </c>
      <c r="C10" s="16" t="s">
        <v>80</v>
      </c>
      <c r="D10" s="17" t="s">
        <v>28</v>
      </c>
      <c r="E10" s="16" t="s">
        <v>31</v>
      </c>
      <c r="F10" s="16" t="s">
        <v>33</v>
      </c>
      <c r="G10" s="18" t="s">
        <v>34</v>
      </c>
      <c r="H10" s="19" t="s">
        <v>81</v>
      </c>
    </row>
    <row r="11" spans="1:8">
      <c r="A11" s="20"/>
      <c r="B11" s="21">
        <v>1</v>
      </c>
      <c r="C11" s="22" t="str">
        <f>'User Interface test case'!B2</f>
        <v>Module_User_Interface</v>
      </c>
      <c r="D11" s="23">
        <f>'Program Interface'!A6</f>
        <v>7</v>
      </c>
      <c r="E11" s="23">
        <f>'Program Interface'!B6</f>
        <v>0</v>
      </c>
      <c r="F11" s="23">
        <f>'Program Interface'!C6</f>
        <v>0</v>
      </c>
      <c r="G11" s="23">
        <f>'Program Interface'!D6</f>
        <v>0</v>
      </c>
      <c r="H11" s="23">
        <f>'Program Interface'!E6</f>
        <v>7</v>
      </c>
    </row>
    <row r="12" spans="1:8">
      <c r="A12" s="20"/>
      <c r="B12" s="21"/>
      <c r="C12" s="22" t="str">
        <f>'Program Interface'!B2</f>
        <v>Module_Program Interface</v>
      </c>
      <c r="D12" s="23">
        <f>'Program Interface'!A6</f>
        <v>7</v>
      </c>
      <c r="E12" s="23">
        <f>'Program Interface'!B6</f>
        <v>0</v>
      </c>
      <c r="F12" s="23">
        <f>'Program Interface'!C6</f>
        <v>0</v>
      </c>
      <c r="G12" s="23">
        <f>'Program Interface'!D6</f>
        <v>0</v>
      </c>
      <c r="H12" s="23">
        <f>'Program Interface'!E6</f>
        <v>7</v>
      </c>
    </row>
    <row r="13" spans="1:8">
      <c r="A13" s="20"/>
      <c r="B13" s="24"/>
      <c r="C13" s="25" t="s">
        <v>82</v>
      </c>
      <c r="D13" s="26">
        <f>SUM(D9:D12)</f>
        <v>14</v>
      </c>
      <c r="E13" s="27">
        <f>SUM(E9:E12)</f>
        <v>0</v>
      </c>
      <c r="F13" s="27">
        <f>SUM(F9:F12)</f>
        <v>0</v>
      </c>
      <c r="G13" s="27">
        <f>SUM(G9:G12)</f>
        <v>0</v>
      </c>
      <c r="H13" s="28">
        <f>SUM(H9:H12)</f>
        <v>14</v>
      </c>
    </row>
    <row r="14" spans="1:8">
      <c r="A14" s="13"/>
      <c r="B14" s="29"/>
      <c r="C14" s="13"/>
      <c r="D14" s="30"/>
      <c r="E14" s="31"/>
      <c r="F14" s="31"/>
      <c r="G14" s="31"/>
      <c r="H14" s="31"/>
    </row>
    <row r="15" spans="1:8">
      <c r="A15" s="13"/>
      <c r="B15" s="13"/>
      <c r="C15" s="32" t="s">
        <v>83</v>
      </c>
      <c r="D15" s="13"/>
      <c r="E15" s="33">
        <f>(D13+E13)*100/(H13-G13)</f>
        <v>100</v>
      </c>
      <c r="F15" s="13" t="s">
        <v>84</v>
      </c>
      <c r="G15" s="13"/>
      <c r="H15" s="34"/>
    </row>
    <row r="16" spans="1:8">
      <c r="A16" s="13"/>
      <c r="B16" s="13"/>
      <c r="C16" s="32" t="s">
        <v>85</v>
      </c>
      <c r="D16" s="13"/>
      <c r="E16" s="33">
        <f>D13*100/(H13-G13)</f>
        <v>100</v>
      </c>
      <c r="F16" s="13" t="s">
        <v>84</v>
      </c>
      <c r="G16" s="13"/>
      <c r="H16" s="34"/>
    </row>
    <row r="17" spans="3:4">
      <c r="C17" s="13"/>
      <c r="D17" s="13"/>
    </row>
  </sheetData>
  <mergeCells count="8">
    <mergeCell ref="C5:D5"/>
    <mergeCell ref="E5:F5"/>
    <mergeCell ref="C6:H6"/>
    <mergeCell ref="B1:H1"/>
    <mergeCell ref="C3:D3"/>
    <mergeCell ref="E3:F3"/>
    <mergeCell ref="C4:D4"/>
    <mergeCell ref="E4:F4"/>
  </mergeCells>
  <pageMargins left="0.74791666666666701" right="0.74791666666666701" top="0.98402777777777795" bottom="0.98402777777777795" header="0.51180555555555596" footer="0.5"/>
  <pageSetup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emplateUrl xmlns="http://schemas.microsoft.com/sharepoint/v3" xsi:nil="true"/>
    <Number_x0020_Of_x0020_Viewer xmlns="cd6d2771-e08b-42a3-90f8-eca630337659">0</Number_x0020_Of_x0020_Viewer>
    <_SourceUrl xmlns="http://schemas.microsoft.com/sharepoint/v3" xsi:nil="true"/>
    <Priority xmlns="41A7A25E-88C5-415C-AB9A-358CCBEA8A85" xsi:nil="true"/>
    <xd_ProgID xmlns="http://schemas.microsoft.com/sharepoint/v3" xsi:nil="true"/>
    <Order xmlns="http://schemas.microsoft.com/sharepoint/v3" xsi:nil="true"/>
    <_SharedFileIndex xmlns="http://schemas.microsoft.com/sharepoint/v3" xsi:nil="true"/>
    <MetaInfo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85ED280E-F51D-42B1-B363-4EC477D089ED}">
  <ds:schemaRefs/>
</ds:datastoreItem>
</file>

<file path=customXml/itemProps2.xml><?xml version="1.0" encoding="utf-8"?>
<ds:datastoreItem xmlns:ds="http://schemas.openxmlformats.org/officeDocument/2006/customXml" ds:itemID="{254E4968-24A4-4F33-B0CC-3206B895FA58}">
  <ds:schemaRefs/>
</ds:datastoreItem>
</file>

<file path=customXml/itemProps3.xml><?xml version="1.0" encoding="utf-8"?>
<ds:datastoreItem xmlns:ds="http://schemas.openxmlformats.org/officeDocument/2006/customXml" ds:itemID="{0FCAE63D-5380-40ED-A43E-1567E1C2037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 List</vt:lpstr>
      <vt:lpstr>Program Interface</vt:lpstr>
      <vt:lpstr>User Interface test case</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
Add sheet Test Case List.
Change Sheet Company, User, Provider to Modules. Add column Inter-test case dependent. Update these sheets.
Update Test Report</dc:description>
  <cp:lastModifiedBy>Admin</cp:lastModifiedBy>
  <cp:lastPrinted>2010-11-12T10:33:00Z</cp:lastPrinted>
  <dcterms:created xsi:type="dcterms:W3CDTF">2011-06-02T09:10:00Z</dcterms:created>
  <dcterms:modified xsi:type="dcterms:W3CDTF">2025-12-21T09:00:14Z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1033-12.2.0.23155</vt:lpwstr>
  </property>
  <property fmtid="{D5CDD505-2E9C-101B-9397-08002B2CF9AE}" pid="3" name="ICV">
    <vt:lpwstr>434823B8389147A2BD261D69C95E13E0_12</vt:lpwstr>
  </property>
</Properties>
</file>