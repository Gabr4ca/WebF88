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c6\12.12\đang làm\Templates\"/>
    </mc:Choice>
  </mc:AlternateContent>
  <bookViews>
    <workbookView xWindow="0" yWindow="0" windowWidth="20490" windowHeight="7635" activeTab="3"/>
  </bookViews>
  <sheets>
    <sheet name="Cover" sheetId="4" r:id="rId1"/>
    <sheet name="Test case List" sheetId="5" r:id="rId2"/>
    <sheet name="Interface test case" sheetId="2" r:id="rId3"/>
    <sheet name="Test Report" sheetId="3" r:id="rId4"/>
  </sheets>
  <externalReferences>
    <externalReference r:id="rId5"/>
    <externalReference r:id="rId6"/>
  </externalReferences>
  <definedNames>
    <definedName name="_xlnm._FilterDatabase" localSheetId="2" hidden="1">'Interface test case'!$A$8:$H$15</definedName>
    <definedName name="ACTION" localSheetId="0">#REF!</definedName>
    <definedName name="ACTION" localSheetId="1">#REF!</definedName>
    <definedName name="ACTION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5" l="1"/>
  <c r="D3" i="5"/>
  <c r="C6" i="4"/>
  <c r="E11" i="3" l="1"/>
  <c r="F11" i="3"/>
  <c r="G11" i="3"/>
  <c r="H11" i="3"/>
  <c r="H13" i="3" s="1"/>
  <c r="D11" i="3"/>
  <c r="C11" i="3"/>
  <c r="G13" i="3"/>
  <c r="F13" i="3"/>
  <c r="E13" i="3"/>
  <c r="D13" i="3"/>
  <c r="C5" i="3"/>
  <c r="A6" i="2"/>
  <c r="B6" i="2"/>
  <c r="D6" i="2"/>
  <c r="E6" i="2"/>
  <c r="C6" i="2" s="1"/>
  <c r="E16" i="3" l="1"/>
  <c r="E15" i="3"/>
</calcChain>
</file>

<file path=xl/comments1.xml><?xml version="1.0" encoding="utf-8"?>
<comments xmlns="http://schemas.openxmlformats.org/spreadsheetml/2006/main">
  <authors>
    <author/>
  </authors>
  <commentList>
    <comment ref="E11" authorId="0" shapeId="0">
      <text>
        <r>
          <rPr>
            <b/>
            <sz val="10"/>
            <color indexed="8"/>
            <rFont val="Times New Roman"/>
            <family val="1"/>
          </rPr>
          <t>*A</t>
        </r>
        <r>
          <rPr>
            <sz val="10"/>
            <color indexed="8"/>
            <rFont val="Times New Roman"/>
            <family val="1"/>
          </rPr>
          <t xml:space="preserve">: Add
  </t>
        </r>
        <r>
          <rPr>
            <b/>
            <sz val="10"/>
            <color indexed="8"/>
            <rFont val="Times New Roman"/>
            <family val="1"/>
          </rPr>
          <t>M</t>
        </r>
        <r>
          <rPr>
            <sz val="10"/>
            <color indexed="8"/>
            <rFont val="Times New Roman"/>
            <family val="1"/>
          </rPr>
          <t xml:space="preserve">: Modify
  </t>
        </r>
        <r>
          <rPr>
            <b/>
            <sz val="10"/>
            <color indexed="8"/>
            <rFont val="Times New Roman"/>
            <family val="1"/>
          </rPr>
          <t>D</t>
        </r>
        <r>
          <rPr>
            <sz val="10"/>
            <color indexed="8"/>
            <rFont val="Times New Roman"/>
            <family val="1"/>
          </rPr>
          <t xml:space="preserve">: Delete
</t>
        </r>
      </text>
    </comment>
  </commentList>
</comments>
</file>

<file path=xl/sharedStrings.xml><?xml version="1.0" encoding="utf-8"?>
<sst xmlns="http://schemas.openxmlformats.org/spreadsheetml/2006/main" count="110" uniqueCount="88">
  <si>
    <r>
      <t xml:space="preserve">Keyword: </t>
    </r>
    <r>
      <rPr>
        <sz val="11"/>
        <color indexed="63"/>
        <rFont val="Arial"/>
        <family val="2"/>
      </rPr>
      <t>xyz123</t>
    </r>
  </si>
  <si>
    <t>1. Status Code: 200 OK.
2. Response Body: Trả về mảng rỗng [] (chứ không phải null hay lỗi).</t>
  </si>
  <si>
    <t>1. Gọi API tìm kiếm: GET /api/products?keyword=mon_khong_ton_tai.
2. Nhấn Send.</t>
  </si>
  <si>
    <t>Verify Search API with No Result
(Kiểm tra API tìm kiếm khi không có kết quả)</t>
  </si>
  <si>
    <t>INT-007</t>
  </si>
  <si>
    <t>Tọa độ A (Kho)
Tọa độ B (Nhà khách)</t>
  </si>
  <si>
    <t>1. Status Code: 200 OK.
2. Trả về đúng số km (ví dụ: 5.5 km) và phí ship tương ứng.
3. Dữ liệu trả về khớp với kết quả check tay trên Google Maps.</t>
  </si>
  <si>
    <t>1. Gọi API nội bộ tính phí ship: POST /api/shipping/calculate.
2. Body gửi 2 tọa độ (Kho và Khách hàng).
3. Backend sẽ gọi sang Google Maps API để lấy khoảng cách.</t>
  </si>
  <si>
    <t>Verify Google Maps API Integration
(Kiểm tra tích hợp API bản đồ)</t>
  </si>
  <si>
    <t>INT-006</t>
  </si>
  <si>
    <t>Token: Empty / Expired</t>
  </si>
  <si>
    <t>1. Status Code: 401 Unauthorized.
2. Response Body: "No token provided" hoặc "Token expired".</t>
  </si>
  <si>
    <t>1. Gọi API xem lịch sử đơn hàng: GET /api/users/profile.
2. Trong Header, KHÔNG gửi Authorization (Bearer Token) hoặc gửi Token hết hạn.
3. Nhấn Send.</t>
  </si>
  <si>
    <t>Verify Authentication Token (JWT)
(Kiểm tra bảo mật API bằng Token)</t>
  </si>
  <si>
    <t>INT-005</t>
  </si>
  <si>
    <r>
      <t xml:space="preserve">Invalid ID: </t>
    </r>
    <r>
      <rPr>
        <sz val="11"/>
        <color indexed="63"/>
        <rFont val="Arial"/>
        <family val="2"/>
      </rPr>
      <t>123_sai_format</t>
    </r>
  </si>
  <si>
    <t>1. Status Code: 400 Bad Request (hoặc 404).
2. Response Body chứa message lỗi rõ ràng: "Invalid Product ID".
3. Server KHÔNG bị crash (không hiện lỗi code html dài dòng).</t>
  </si>
  <si>
    <t>1. Gọi API lấy chi tiết món ăn: GET /api/products/123_sai_format.
2. Nhấn Send.</t>
  </si>
  <si>
    <t>Verify API Error Handling (Invalid ID)
(Kiểm tra xử lý lỗi khi gửi ID sai định dạng)</t>
  </si>
  <si>
    <t>INT-004</t>
  </si>
  <si>
    <t>OrderID: ORD-111
ResultCode: 0 (Success)</t>
  </si>
  <si>
    <t>1. API Webhook trả về Status 200 hoặc 204 (để báo cho Momo biết đã nhận tin).
2. Trong MongoDB, trạng thái đơn ORD-111 tự động chuyển thành "Paid" (hoặc "Confirmed").</t>
  </si>
  <si>
    <t>1. Tạo sẵn một đơn hàng trong DB có ID là ORD-111 (Status: Pending).
2. Giả lập request từ Server Momo bằng Postman: POST /api/payment/callback.
3. Body: { "orderId": "ORD-111", "resultCode": 0, "message": "Success" }.
4. Kiểm tra lại DB.</t>
  </si>
  <si>
    <t>Verify "Payment Callback" Webhook Processing
(Kiểm tra Backend xử lý khi nhận tín hiệu từ cổng thanh toán)</t>
  </si>
  <si>
    <t>INT-003</t>
  </si>
  <si>
    <t>JSON Body:
{"items": [{"id": "ga_ran", "qty": 2}], "address": "123 HCM"}</t>
  </si>
  <si>
    <t>1. API trả về Status 201 Created.
2. Trong MongoDB, bản ghi mới được tạo có:
- totalPrice khớp với tổng tiền gửi lên.
- status mặc định là "Pending".
- items được lưu đầy đủ.</t>
  </si>
  <si>
    <t>1. Dùng Postman gọi API POST /api/orders.
2. Body chứa thông tin đơn hàng hợp lệ.
3. Nhấn Send.
4. Mở MongoDB Compass, vào collection orders, tìm bản ghi mới nhất.</t>
  </si>
  <si>
    <t>Verify "Create Order" Data Integrity in Database
(Kiểm tra tính toàn vẹn dữ liệu khi tạo đơn hàng)</t>
  </si>
  <si>
    <t>INT-002</t>
  </si>
  <si>
    <t>Không có</t>
  </si>
  <si>
    <t>1. Status Code: 200 OK.
2. Response trả về là một mảng [] JSON.
3. Mỗi item phải có đủ các trường: _id, name, price, image, category.
4. Thời gian phản hồi &lt; 500ms.</t>
  </si>
  <si>
    <t>1. Mở Postman.
2. Set method GET.
3. Nhập URL: /api/products.
4. Nhấn Send.
5. Kiểm tra Status Code và cấu trúc JSON trong Body.</t>
  </si>
  <si>
    <t>Verify "Get Product List" API Response Structure
(Kiểm tra cấu trúc dữ liệu trả về của API danh sách món ăn)</t>
  </si>
  <si>
    <t>INT-001</t>
  </si>
  <si>
    <t>Description</t>
  </si>
  <si>
    <t>Test data</t>
  </si>
  <si>
    <t>Result</t>
  </si>
  <si>
    <t>Expected Output</t>
  </si>
  <si>
    <t>Test Case Procedure</t>
  </si>
  <si>
    <t>Test Case Description</t>
  </si>
  <si>
    <t>ID</t>
  </si>
  <si>
    <t>N/A</t>
  </si>
  <si>
    <t>Untesed</t>
  </si>
  <si>
    <t>Number of Test cases</t>
  </si>
  <si>
    <t>Untested</t>
  </si>
  <si>
    <t>Fail</t>
  </si>
  <si>
    <t>Pass</t>
  </si>
  <si>
    <t>Tester</t>
  </si>
  <si>
    <t>Kiểm tra an ninh của hệ thống web</t>
  </si>
  <si>
    <t>Test requirement</t>
  </si>
  <si>
    <t>Module_Security</t>
  </si>
  <si>
    <t>Module Code</t>
  </si>
  <si>
    <t>TEST REPORT</t>
  </si>
  <si>
    <t>Project Name</t>
  </si>
  <si>
    <t>&lt;Project Name&gt;</t>
  </si>
  <si>
    <t>Creator</t>
  </si>
  <si>
    <t>Project Code</t>
  </si>
  <si>
    <t>&lt;Project Code&gt;</t>
  </si>
  <si>
    <t>Reviewer/Approver</t>
  </si>
  <si>
    <t>Document Code</t>
  </si>
  <si>
    <t>Issue Date</t>
  </si>
  <si>
    <t>&lt;Date when this test report is created&gt;</t>
  </si>
  <si>
    <t>Notes</t>
  </si>
  <si>
    <t>&lt;List modules included in this release&gt; ex: Release 1 includes 2 modules: Module1 and Module2</t>
  </si>
  <si>
    <t>No</t>
  </si>
  <si>
    <t>Module code</t>
  </si>
  <si>
    <t>Number of  test cases</t>
  </si>
  <si>
    <t>Sub total</t>
  </si>
  <si>
    <t>Test coverage</t>
  </si>
  <si>
    <t>%</t>
  </si>
  <si>
    <t>Test successful coverage</t>
  </si>
  <si>
    <t>TEST CASE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</si>
  <si>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</si>
  <si>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</si>
  <si>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</si>
  <si>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</si>
  <si>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</si>
  <si>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</si>
  <si>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</si>
  <si>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</si>
  <si>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referred in this version.&gt;</t>
  </si>
  <si>
    <t>TEST CASE LIST</t>
  </si>
  <si>
    <t>Test Environment Setup Description</t>
  </si>
  <si>
    <t>&lt;List enviroment requires in this system
1. Server
2. Database
3. Web Browser
...
&gt;</t>
  </si>
  <si>
    <t>Function Name</t>
  </si>
  <si>
    <t>Sheet Name</t>
  </si>
  <si>
    <t>Pre-Condition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</si>
</sst>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-mmm\-yy;@"/>
  </numFmts>
  <fonts count="31">
    <font>
      <sz val="12"/>
      <color theme="1"/>
      <name val="Times New Roman"/>
      <family val="2"/>
    </font>
    <font>
      <sz val="11"/>
      <name val="ＭＳ Ｐゴシック"/>
      <family val="3"/>
      <charset val="128"/>
    </font>
    <font>
      <sz val="10"/>
      <name val="Tahoma"/>
      <family val="2"/>
      <charset val="128"/>
    </font>
    <font>
      <sz val="10"/>
      <color indexed="10"/>
      <name val="Tahoma"/>
      <family val="2"/>
      <charset val="128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444746"/>
      <name val="Arial"/>
      <family val="2"/>
    </font>
    <font>
      <sz val="10"/>
      <color indexed="8"/>
      <name val="Tahoma"/>
      <family val="2"/>
      <charset val="128"/>
    </font>
    <font>
      <b/>
      <sz val="10"/>
      <color indexed="10"/>
      <name val="Tahoma"/>
      <family val="2"/>
      <charset val="128"/>
    </font>
    <font>
      <b/>
      <sz val="10"/>
      <name val="Tahoma"/>
      <family val="2"/>
      <charset val="128"/>
    </font>
    <font>
      <sz val="11"/>
      <color indexed="63"/>
      <name val="Arial"/>
      <family val="2"/>
    </font>
    <font>
      <sz val="10"/>
      <name val="Arial"/>
      <family val="2"/>
    </font>
    <font>
      <b/>
      <sz val="10"/>
      <color indexed="9"/>
      <name val="Tahoma"/>
      <family val="2"/>
      <charset val="128"/>
    </font>
    <font>
      <b/>
      <sz val="10"/>
      <color indexed="8"/>
      <name val="Tahoma"/>
      <family val="2"/>
      <charset val="128"/>
    </font>
    <font>
      <i/>
      <sz val="10"/>
      <color indexed="17"/>
      <name val="Tahoma"/>
      <family val="2"/>
      <charset val="128"/>
    </font>
    <font>
      <b/>
      <sz val="20"/>
      <color indexed="8"/>
      <name val="Tahoma"/>
      <family val="2"/>
      <charset val="128"/>
    </font>
    <font>
      <b/>
      <sz val="10"/>
      <color indexed="60"/>
      <name val="Tahoma"/>
      <family val="2"/>
      <charset val="128"/>
    </font>
    <font>
      <sz val="10"/>
      <color indexed="9"/>
      <name val="Tahoma"/>
      <family val="2"/>
      <charset val="128"/>
    </font>
    <font>
      <b/>
      <sz val="10"/>
      <color indexed="12"/>
      <name val="Tahoma"/>
      <family val="2"/>
      <charset val="128"/>
    </font>
    <font>
      <b/>
      <sz val="22"/>
      <color indexed="10"/>
      <name val="Tahoma"/>
      <family val="2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sz val="10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41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</fills>
  <borders count="45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76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2" fillId="2" borderId="0" xfId="1" applyFont="1" applyFill="1" applyAlignment="1"/>
    <xf numFmtId="0" fontId="2" fillId="2" borderId="0" xfId="1" applyFont="1" applyFill="1" applyBorder="1" applyAlignment="1"/>
    <xf numFmtId="0" fontId="2" fillId="2" borderId="0" xfId="1" applyFont="1" applyFill="1" applyBorder="1"/>
    <xf numFmtId="0" fontId="2" fillId="3" borderId="0" xfId="1" applyFont="1" applyFill="1" applyBorder="1" applyAlignment="1"/>
    <xf numFmtId="0" fontId="2" fillId="3" borderId="0" xfId="1" applyFont="1" applyFill="1" applyBorder="1"/>
    <xf numFmtId="0" fontId="4" fillId="3" borderId="0" xfId="1" applyFont="1" applyFill="1" applyBorder="1" applyAlignment="1">
      <alignment wrapText="1" readingOrder="1"/>
    </xf>
    <xf numFmtId="0" fontId="5" fillId="3" borderId="0" xfId="1" applyFont="1" applyFill="1" applyBorder="1" applyAlignment="1">
      <alignment wrapText="1" readingOrder="1"/>
    </xf>
    <xf numFmtId="0" fontId="2" fillId="2" borderId="1" xfId="1" applyFont="1" applyFill="1" applyBorder="1"/>
    <xf numFmtId="0" fontId="2" fillId="2" borderId="2" xfId="1" applyFont="1" applyFill="1" applyBorder="1"/>
    <xf numFmtId="0" fontId="6" fillId="3" borderId="0" xfId="1" applyFont="1" applyFill="1" applyBorder="1" applyAlignment="1">
      <alignment wrapText="1" readingOrder="1"/>
    </xf>
    <xf numFmtId="0" fontId="1" fillId="3" borderId="0" xfId="1" applyFill="1" applyBorder="1"/>
    <xf numFmtId="0" fontId="3" fillId="2" borderId="0" xfId="1" applyFont="1" applyFill="1" applyBorder="1"/>
    <xf numFmtId="0" fontId="2" fillId="4" borderId="0" xfId="1" applyFont="1" applyFill="1" applyBorder="1"/>
    <xf numFmtId="0" fontId="5" fillId="3" borderId="3" xfId="1" applyFont="1" applyFill="1" applyBorder="1" applyAlignment="1">
      <alignment wrapText="1" readingOrder="1"/>
    </xf>
    <xf numFmtId="0" fontId="5" fillId="3" borderId="4" xfId="1" applyFont="1" applyFill="1" applyBorder="1" applyAlignment="1">
      <alignment wrapText="1" readingOrder="1"/>
    </xf>
    <xf numFmtId="0" fontId="2" fillId="3" borderId="5" xfId="1" applyFont="1" applyFill="1" applyBorder="1"/>
    <xf numFmtId="0" fontId="2" fillId="3" borderId="6" xfId="1" applyFont="1" applyFill="1" applyBorder="1"/>
    <xf numFmtId="0" fontId="2" fillId="2" borderId="7" xfId="1" applyFont="1" applyFill="1" applyBorder="1"/>
    <xf numFmtId="0" fontId="2" fillId="2" borderId="3" xfId="1" applyFont="1" applyFill="1" applyBorder="1"/>
    <xf numFmtId="0" fontId="2" fillId="2" borderId="8" xfId="1" applyFont="1" applyFill="1" applyBorder="1"/>
    <xf numFmtId="0" fontId="3" fillId="2" borderId="0" xfId="1" applyFont="1" applyFill="1" applyBorder="1" applyAlignment="1">
      <alignment vertical="top" wrapText="1"/>
    </xf>
    <xf numFmtId="0" fontId="7" fillId="2" borderId="0" xfId="1" applyFont="1" applyFill="1" applyAlignment="1"/>
    <xf numFmtId="0" fontId="7" fillId="2" borderId="0" xfId="1" applyFont="1" applyFill="1" applyBorder="1" applyAlignment="1"/>
    <xf numFmtId="0" fontId="8" fillId="2" borderId="0" xfId="2" applyFont="1" applyFill="1" applyBorder="1" applyAlignment="1">
      <alignment horizontal="left" vertical="center"/>
    </xf>
    <xf numFmtId="0" fontId="2" fillId="4" borderId="0" xfId="1" applyFont="1" applyFill="1" applyBorder="1" applyAlignment="1">
      <alignment vertical="top" wrapText="1"/>
    </xf>
    <xf numFmtId="0" fontId="2" fillId="4" borderId="0" xfId="2" applyFont="1" applyFill="1" applyBorder="1" applyAlignment="1">
      <alignment vertical="top" wrapText="1"/>
    </xf>
    <xf numFmtId="0" fontId="9" fillId="5" borderId="9" xfId="2" applyFont="1" applyFill="1" applyBorder="1" applyAlignment="1">
      <alignment horizontal="left" vertical="center"/>
    </xf>
    <xf numFmtId="0" fontId="9" fillId="5" borderId="10" xfId="2" applyFont="1" applyFill="1" applyBorder="1" applyAlignment="1">
      <alignment horizontal="left" vertical="center"/>
    </xf>
    <xf numFmtId="0" fontId="4" fillId="0" borderId="10" xfId="1" applyFont="1" applyBorder="1" applyAlignment="1">
      <alignment horizontal="left" vertical="center" wrapText="1" readingOrder="1"/>
    </xf>
    <xf numFmtId="0" fontId="5" fillId="0" borderId="10" xfId="1" applyFont="1" applyBorder="1" applyAlignment="1">
      <alignment horizontal="left" vertical="center" wrapText="1" readingOrder="1"/>
    </xf>
    <xf numFmtId="0" fontId="2" fillId="4" borderId="11" xfId="1" applyFont="1" applyFill="1" applyBorder="1"/>
    <xf numFmtId="0" fontId="2" fillId="4" borderId="12" xfId="1" applyFont="1" applyFill="1" applyBorder="1" applyAlignment="1"/>
    <xf numFmtId="0" fontId="2" fillId="4" borderId="12" xfId="2" applyFont="1" applyFill="1" applyBorder="1" applyAlignment="1">
      <alignment vertical="top" wrapText="1"/>
    </xf>
    <xf numFmtId="0" fontId="4" fillId="0" borderId="13" xfId="1" applyFont="1" applyBorder="1" applyAlignment="1">
      <alignment horizontal="left" vertical="center" wrapText="1" readingOrder="1"/>
    </xf>
    <xf numFmtId="0" fontId="5" fillId="0" borderId="13" xfId="1" applyFont="1" applyBorder="1" applyAlignment="1">
      <alignment horizontal="left" vertical="center" wrapText="1" readingOrder="1"/>
    </xf>
    <xf numFmtId="0" fontId="2" fillId="2" borderId="14" xfId="1" applyFont="1" applyFill="1" applyBorder="1" applyAlignment="1">
      <alignment vertical="top" wrapText="1"/>
    </xf>
    <xf numFmtId="0" fontId="2" fillId="2" borderId="14" xfId="2" applyFont="1" applyFill="1" applyBorder="1" applyAlignment="1">
      <alignment vertical="top" wrapText="1"/>
    </xf>
    <xf numFmtId="0" fontId="2" fillId="2" borderId="15" xfId="2" applyFont="1" applyFill="1" applyBorder="1" applyAlignment="1">
      <alignment vertical="top" wrapText="1"/>
    </xf>
    <xf numFmtId="0" fontId="7" fillId="2" borderId="0" xfId="1" applyFont="1" applyFill="1" applyAlignment="1">
      <alignment vertical="top"/>
    </xf>
    <xf numFmtId="0" fontId="7" fillId="4" borderId="0" xfId="1" applyFont="1" applyFill="1" applyAlignment="1">
      <alignment vertical="top"/>
    </xf>
    <xf numFmtId="0" fontId="11" fillId="2" borderId="14" xfId="1" applyFont="1" applyFill="1" applyBorder="1" applyAlignment="1">
      <alignment vertical="center" wrapText="1"/>
    </xf>
    <xf numFmtId="0" fontId="11" fillId="2" borderId="14" xfId="1" applyFont="1" applyFill="1" applyBorder="1" applyAlignment="1">
      <alignment horizontal="left" vertical="center" wrapText="1"/>
    </xf>
    <xf numFmtId="0" fontId="11" fillId="2" borderId="15" xfId="2" applyFont="1" applyFill="1" applyBorder="1" applyAlignment="1">
      <alignment vertical="center" wrapText="1"/>
    </xf>
    <xf numFmtId="0" fontId="8" fillId="2" borderId="0" xfId="2" applyFont="1" applyFill="1" applyBorder="1" applyAlignment="1">
      <alignment horizontal="center" vertical="center" wrapText="1"/>
    </xf>
    <xf numFmtId="0" fontId="12" fillId="6" borderId="14" xfId="2" applyFont="1" applyFill="1" applyBorder="1" applyAlignment="1">
      <alignment horizontal="center" vertical="center" wrapText="1"/>
    </xf>
    <xf numFmtId="0" fontId="12" fillId="6" borderId="16" xfId="2" applyFont="1" applyFill="1" applyBorder="1" applyAlignment="1">
      <alignment horizontal="center" vertical="center" wrapText="1"/>
    </xf>
    <xf numFmtId="0" fontId="3" fillId="2" borderId="0" xfId="1" applyFont="1" applyFill="1" applyBorder="1" applyAlignment="1">
      <alignment horizontal="center" wrapText="1"/>
    </xf>
    <xf numFmtId="0" fontId="2" fillId="2" borderId="0" xfId="1" applyFont="1" applyFill="1" applyBorder="1" applyAlignment="1">
      <alignment horizontal="center" wrapText="1"/>
    </xf>
    <xf numFmtId="0" fontId="7" fillId="2" borderId="0" xfId="1" applyFont="1" applyFill="1" applyBorder="1" applyAlignment="1">
      <alignment horizontal="center" wrapText="1"/>
    </xf>
    <xf numFmtId="0" fontId="7" fillId="2" borderId="17" xfId="1" applyFont="1" applyFill="1" applyBorder="1" applyAlignment="1">
      <alignment horizontal="center" vertical="center" wrapText="1"/>
    </xf>
    <xf numFmtId="0" fontId="7" fillId="2" borderId="18" xfId="1" applyFont="1" applyFill="1" applyBorder="1" applyAlignment="1">
      <alignment horizontal="center" vertical="center"/>
    </xf>
    <xf numFmtId="0" fontId="7" fillId="2" borderId="19" xfId="1" applyFont="1" applyFill="1" applyBorder="1" applyAlignment="1">
      <alignment horizontal="center" vertical="center"/>
    </xf>
    <xf numFmtId="0" fontId="7" fillId="2" borderId="20" xfId="1" applyFont="1" applyFill="1" applyBorder="1" applyAlignment="1">
      <alignment horizontal="center" vertical="center"/>
    </xf>
    <xf numFmtId="0" fontId="13" fillId="2" borderId="21" xfId="1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 wrapText="1"/>
    </xf>
    <xf numFmtId="0" fontId="13" fillId="2" borderId="14" xfId="1" applyFont="1" applyFill="1" applyBorder="1" applyAlignment="1">
      <alignment horizontal="center" vertical="center" wrapText="1"/>
    </xf>
    <xf numFmtId="0" fontId="13" fillId="2" borderId="23" xfId="1" applyFont="1" applyFill="1" applyBorder="1" applyAlignment="1">
      <alignment horizontal="center" vertical="center"/>
    </xf>
    <xf numFmtId="0" fontId="13" fillId="2" borderId="0" xfId="1" applyFont="1" applyFill="1" applyAlignment="1"/>
    <xf numFmtId="0" fontId="3" fillId="2" borderId="0" xfId="1" applyFont="1" applyFill="1" applyAlignment="1">
      <alignment wrapText="1"/>
    </xf>
    <xf numFmtId="0" fontId="2" fillId="2" borderId="0" xfId="1" applyFont="1" applyFill="1" applyAlignment="1">
      <alignment wrapText="1"/>
    </xf>
    <xf numFmtId="0" fontId="2" fillId="2" borderId="0" xfId="1" applyFont="1" applyFill="1" applyAlignment="1" applyProtection="1">
      <alignment wrapText="1"/>
    </xf>
    <xf numFmtId="0" fontId="14" fillId="2" borderId="24" xfId="2" applyFont="1" applyFill="1" applyBorder="1" applyAlignment="1">
      <alignment horizontal="left" wrapText="1"/>
    </xf>
    <xf numFmtId="0" fontId="9" fillId="2" borderId="25" xfId="2" applyFont="1" applyFill="1" applyBorder="1" applyAlignment="1">
      <alignment horizontal="left" wrapText="1"/>
    </xf>
    <xf numFmtId="0" fontId="14" fillId="2" borderId="21" xfId="2" applyFont="1" applyFill="1" applyBorder="1" applyAlignment="1">
      <alignment horizontal="left" wrapText="1"/>
    </xf>
    <xf numFmtId="0" fontId="9" fillId="2" borderId="23" xfId="2" applyFont="1" applyFill="1" applyBorder="1" applyAlignment="1">
      <alignment horizontal="left" wrapText="1"/>
    </xf>
    <xf numFmtId="0" fontId="9" fillId="2" borderId="0" xfId="1" applyFont="1" applyFill="1" applyAlignment="1" applyProtection="1">
      <alignment wrapText="1"/>
    </xf>
    <xf numFmtId="0" fontId="2" fillId="2" borderId="26" xfId="1" applyFont="1" applyFill="1" applyBorder="1" applyAlignment="1">
      <alignment wrapText="1"/>
    </xf>
    <xf numFmtId="0" fontId="7" fillId="2" borderId="26" xfId="1" applyFont="1" applyFill="1" applyBorder="1" applyAlignment="1">
      <alignment wrapText="1"/>
    </xf>
    <xf numFmtId="0" fontId="7" fillId="2" borderId="26" xfId="1" applyFont="1" applyFill="1" applyBorder="1" applyAlignment="1"/>
    <xf numFmtId="0" fontId="15" fillId="2" borderId="0" xfId="3" applyFont="1" applyFill="1" applyBorder="1" applyAlignment="1">
      <alignment horizontal="center"/>
    </xf>
    <xf numFmtId="0" fontId="9" fillId="2" borderId="0" xfId="3" applyFont="1" applyFill="1" applyBorder="1"/>
    <xf numFmtId="0" fontId="2" fillId="2" borderId="0" xfId="3" applyFont="1" applyFill="1" applyBorder="1"/>
    <xf numFmtId="164" fontId="2" fillId="2" borderId="0" xfId="3" applyNumberFormat="1" applyFont="1" applyFill="1" applyBorder="1"/>
    <xf numFmtId="0" fontId="16" fillId="2" borderId="14" xfId="1" applyFont="1" applyFill="1" applyBorder="1" applyAlignment="1">
      <alignment horizontal="left" vertical="center"/>
    </xf>
    <xf numFmtId="0" fontId="14" fillId="2" borderId="14" xfId="1" applyFont="1" applyFill="1" applyBorder="1" applyAlignment="1">
      <alignment horizontal="left"/>
    </xf>
    <xf numFmtId="0" fontId="16" fillId="2" borderId="14" xfId="1" applyFont="1" applyFill="1" applyBorder="1" applyAlignment="1">
      <alignment horizontal="left"/>
    </xf>
    <xf numFmtId="0" fontId="16" fillId="2" borderId="15" xfId="1" applyFont="1" applyFill="1" applyBorder="1" applyAlignment="1">
      <alignment horizontal="left"/>
    </xf>
    <xf numFmtId="0" fontId="2" fillId="2" borderId="15" xfId="1" applyFont="1" applyFill="1" applyBorder="1" applyAlignment="1">
      <alignment vertical="top"/>
    </xf>
    <xf numFmtId="0" fontId="16" fillId="2" borderId="14" xfId="1" applyFont="1" applyFill="1" applyBorder="1" applyAlignment="1">
      <alignment vertical="center"/>
    </xf>
    <xf numFmtId="0" fontId="14" fillId="2" borderId="15" xfId="1" applyFont="1" applyFill="1" applyBorder="1" applyAlignment="1">
      <alignment vertical="top"/>
    </xf>
    <xf numFmtId="0" fontId="14" fillId="2" borderId="14" xfId="3" applyFont="1" applyFill="1" applyBorder="1" applyAlignment="1">
      <alignment vertical="top"/>
    </xf>
    <xf numFmtId="0" fontId="16" fillId="2" borderId="0" xfId="1" applyFont="1" applyFill="1"/>
    <xf numFmtId="0" fontId="14" fillId="2" borderId="0" xfId="3" applyFont="1" applyFill="1" applyBorder="1"/>
    <xf numFmtId="0" fontId="2" fillId="2" borderId="27" xfId="1" applyFont="1" applyFill="1" applyBorder="1" applyAlignment="1"/>
    <xf numFmtId="0" fontId="12" fillId="6" borderId="28" xfId="1" applyNumberFormat="1" applyFont="1" applyFill="1" applyBorder="1" applyAlignment="1">
      <alignment horizontal="center"/>
    </xf>
    <xf numFmtId="0" fontId="12" fillId="6" borderId="29" xfId="1" applyNumberFormat="1" applyFont="1" applyFill="1" applyBorder="1" applyAlignment="1">
      <alignment horizontal="center"/>
    </xf>
    <xf numFmtId="0" fontId="12" fillId="6" borderId="29" xfId="1" applyNumberFormat="1" applyFont="1" applyFill="1" applyBorder="1" applyAlignment="1">
      <alignment horizontal="center" wrapText="1"/>
    </xf>
    <xf numFmtId="0" fontId="12" fillId="6" borderId="30" xfId="1" applyNumberFormat="1" applyFont="1" applyFill="1" applyBorder="1" applyAlignment="1">
      <alignment horizontal="center"/>
    </xf>
    <xf numFmtId="0" fontId="12" fillId="6" borderId="31" xfId="1" applyNumberFormat="1" applyFont="1" applyFill="1" applyBorder="1" applyAlignment="1">
      <alignment horizontal="center" wrapText="1"/>
    </xf>
    <xf numFmtId="0" fontId="2" fillId="2" borderId="27" xfId="1" applyFont="1" applyFill="1" applyBorder="1"/>
    <xf numFmtId="0" fontId="2" fillId="2" borderId="32" xfId="1" applyNumberFormat="1" applyFont="1" applyFill="1" applyBorder="1" applyAlignment="1">
      <alignment horizontal="center"/>
    </xf>
    <xf numFmtId="0" fontId="2" fillId="2" borderId="33" xfId="1" applyNumberFormat="1" applyFont="1" applyFill="1" applyBorder="1"/>
    <xf numFmtId="0" fontId="2" fillId="2" borderId="33" xfId="1" applyNumberFormat="1" applyFont="1" applyFill="1" applyBorder="1" applyAlignment="1">
      <alignment horizontal="center"/>
    </xf>
    <xf numFmtId="0" fontId="2" fillId="2" borderId="34" xfId="1" applyNumberFormat="1" applyFont="1" applyFill="1" applyBorder="1" applyAlignment="1">
      <alignment horizontal="center"/>
    </xf>
    <xf numFmtId="0" fontId="2" fillId="2" borderId="35" xfId="1" applyNumberFormat="1" applyFont="1" applyFill="1" applyBorder="1" applyAlignment="1">
      <alignment horizontal="center"/>
    </xf>
    <xf numFmtId="0" fontId="17" fillId="6" borderId="36" xfId="1" applyNumberFormat="1" applyFont="1" applyFill="1" applyBorder="1" applyAlignment="1">
      <alignment horizontal="center"/>
    </xf>
    <xf numFmtId="0" fontId="12" fillId="6" borderId="37" xfId="1" applyFont="1" applyFill="1" applyBorder="1"/>
    <xf numFmtId="0" fontId="17" fillId="6" borderId="37" xfId="1" applyNumberFormat="1" applyFont="1" applyFill="1" applyBorder="1" applyAlignment="1">
      <alignment horizontal="center"/>
    </xf>
    <xf numFmtId="0" fontId="17" fillId="6" borderId="37" xfId="1" applyFont="1" applyFill="1" applyBorder="1" applyAlignment="1">
      <alignment horizontal="center"/>
    </xf>
    <xf numFmtId="0" fontId="17" fillId="6" borderId="38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10" fontId="2" fillId="2" borderId="0" xfId="1" applyNumberFormat="1" applyFont="1" applyFill="1" applyBorder="1" applyAlignment="1">
      <alignment horizontal="center"/>
    </xf>
    <xf numFmtId="9" fontId="2" fillId="2" borderId="0" xfId="1" applyNumberFormat="1" applyFont="1" applyFill="1" applyBorder="1" applyAlignment="1">
      <alignment horizontal="center"/>
    </xf>
    <xf numFmtId="0" fontId="16" fillId="2" borderId="0" xfId="1" applyFont="1" applyFill="1" applyBorder="1" applyAlignment="1">
      <alignment horizontal="left"/>
    </xf>
    <xf numFmtId="2" fontId="18" fillId="2" borderId="0" xfId="1" applyNumberFormat="1" applyFont="1" applyFill="1" applyBorder="1" applyAlignment="1">
      <alignment horizontal="right" wrapText="1"/>
    </xf>
    <xf numFmtId="0" fontId="19" fillId="2" borderId="0" xfId="1" applyFont="1" applyFill="1" applyAlignment="1">
      <alignment horizontal="center" vertical="center"/>
    </xf>
    <xf numFmtId="0" fontId="20" fillId="0" borderId="22" xfId="1" applyFont="1" applyBorder="1" applyAlignment="1">
      <alignment horizontal="center" vertical="center"/>
    </xf>
    <xf numFmtId="0" fontId="21" fillId="0" borderId="14" xfId="1" applyFont="1" applyBorder="1" applyAlignment="1">
      <alignment horizontal="center" vertical="center"/>
    </xf>
    <xf numFmtId="0" fontId="22" fillId="0" borderId="0" xfId="1" applyFont="1" applyAlignment="1">
      <alignment horizontal="center" vertical="center"/>
    </xf>
    <xf numFmtId="0" fontId="22" fillId="0" borderId="0" xfId="1" applyFont="1"/>
    <xf numFmtId="0" fontId="23" fillId="2" borderId="0" xfId="1" applyFont="1" applyFill="1" applyAlignment="1">
      <alignment horizontal="left" indent="1"/>
    </xf>
    <xf numFmtId="0" fontId="24" fillId="0" borderId="0" xfId="1" applyFont="1" applyAlignment="1">
      <alignment horizontal="left" indent="1"/>
    </xf>
    <xf numFmtId="0" fontId="22" fillId="2" borderId="0" xfId="1" applyFont="1" applyFill="1"/>
    <xf numFmtId="0" fontId="23" fillId="2" borderId="14" xfId="1" applyFont="1" applyFill="1" applyBorder="1" applyAlignment="1">
      <alignment horizontal="left"/>
    </xf>
    <xf numFmtId="0" fontId="24" fillId="0" borderId="14" xfId="1" applyFont="1" applyBorder="1" applyAlignment="1">
      <alignment horizontal="left"/>
    </xf>
    <xf numFmtId="0" fontId="22" fillId="0" borderId="15" xfId="1" applyFont="1" applyBorder="1" applyAlignment="1"/>
    <xf numFmtId="0" fontId="23" fillId="2" borderId="14" xfId="1" applyFont="1" applyFill="1" applyBorder="1" applyAlignment="1">
      <alignment horizontal="left" vertical="center"/>
    </xf>
    <xf numFmtId="0" fontId="24" fillId="0" borderId="14" xfId="1" applyFont="1" applyBorder="1" applyAlignment="1">
      <alignment horizontal="left" vertical="center"/>
    </xf>
    <xf numFmtId="0" fontId="24" fillId="0" borderId="15" xfId="1" applyFont="1" applyBorder="1" applyAlignment="1">
      <alignment horizontal="left" indent="1"/>
    </xf>
    <xf numFmtId="0" fontId="23" fillId="2" borderId="0" xfId="1" applyFont="1" applyFill="1" applyBorder="1"/>
    <xf numFmtId="0" fontId="24" fillId="0" borderId="0" xfId="1" applyFont="1" applyBorder="1" applyAlignment="1">
      <alignment horizontal="left"/>
    </xf>
    <xf numFmtId="0" fontId="22" fillId="0" borderId="0" xfId="1" applyFont="1" applyBorder="1" applyAlignment="1"/>
    <xf numFmtId="0" fontId="23" fillId="2" borderId="0" xfId="1" applyFont="1" applyFill="1" applyBorder="1" applyAlignment="1">
      <alignment horizontal="left" indent="1"/>
    </xf>
    <xf numFmtId="0" fontId="24" fillId="0" borderId="0" xfId="1" applyFont="1" applyBorder="1" applyAlignment="1">
      <alignment horizontal="left" indent="1"/>
    </xf>
    <xf numFmtId="0" fontId="22" fillId="0" borderId="0" xfId="1" applyFont="1" applyBorder="1" applyAlignment="1">
      <alignment horizontal="left" indent="1"/>
    </xf>
    <xf numFmtId="0" fontId="22" fillId="0" borderId="0" xfId="1" applyFont="1" applyBorder="1"/>
    <xf numFmtId="0" fontId="23" fillId="0" borderId="0" xfId="1" applyFont="1" applyAlignment="1">
      <alignment horizontal="left"/>
    </xf>
    <xf numFmtId="0" fontId="22" fillId="0" borderId="0" xfId="1" applyFont="1" applyAlignment="1">
      <alignment vertical="center"/>
    </xf>
    <xf numFmtId="164" fontId="25" fillId="6" borderId="39" xfId="1" applyNumberFormat="1" applyFont="1" applyFill="1" applyBorder="1" applyAlignment="1">
      <alignment horizontal="center" vertical="center"/>
    </xf>
    <xf numFmtId="0" fontId="25" fillId="6" borderId="29" xfId="1" applyFont="1" applyFill="1" applyBorder="1" applyAlignment="1">
      <alignment horizontal="center" vertical="center"/>
    </xf>
    <xf numFmtId="0" fontId="25" fillId="6" borderId="40" xfId="1" applyFont="1" applyFill="1" applyBorder="1" applyAlignment="1">
      <alignment horizontal="center" vertical="center"/>
    </xf>
    <xf numFmtId="0" fontId="22" fillId="0" borderId="0" xfId="1" applyFont="1" applyAlignment="1">
      <alignment vertical="top"/>
    </xf>
    <xf numFmtId="0" fontId="24" fillId="0" borderId="41" xfId="1" applyFont="1" applyBorder="1" applyAlignment="1">
      <alignment vertical="top" wrapText="1"/>
    </xf>
    <xf numFmtId="49" fontId="22" fillId="0" borderId="33" xfId="1" applyNumberFormat="1" applyFont="1" applyBorder="1" applyAlignment="1">
      <alignment vertical="top"/>
    </xf>
    <xf numFmtId="0" fontId="22" fillId="0" borderId="33" xfId="1" applyFont="1" applyBorder="1" applyAlignment="1">
      <alignment vertical="top"/>
    </xf>
    <xf numFmtId="15" fontId="22" fillId="0" borderId="33" xfId="1" applyNumberFormat="1" applyFont="1" applyBorder="1" applyAlignment="1">
      <alignment vertical="top"/>
    </xf>
    <xf numFmtId="0" fontId="24" fillId="0" borderId="42" xfId="1" applyFont="1" applyBorder="1" applyAlignment="1">
      <alignment vertical="top" wrapText="1"/>
    </xf>
    <xf numFmtId="164" fontId="22" fillId="0" borderId="41" xfId="1" applyNumberFormat="1" applyFont="1" applyBorder="1" applyAlignment="1">
      <alignment vertical="top"/>
    </xf>
    <xf numFmtId="0" fontId="22" fillId="0" borderId="42" xfId="1" applyFont="1" applyBorder="1" applyAlignment="1">
      <alignment vertical="top"/>
    </xf>
    <xf numFmtId="164" fontId="22" fillId="0" borderId="43" xfId="1" applyNumberFormat="1" applyFont="1" applyBorder="1" applyAlignment="1">
      <alignment vertical="top"/>
    </xf>
    <xf numFmtId="49" fontId="22" fillId="0" borderId="37" xfId="1" applyNumberFormat="1" applyFont="1" applyBorder="1" applyAlignment="1">
      <alignment vertical="top"/>
    </xf>
    <xf numFmtId="0" fontId="22" fillId="0" borderId="37" xfId="1" applyFont="1" applyBorder="1" applyAlignment="1">
      <alignment vertical="top"/>
    </xf>
    <xf numFmtId="0" fontId="22" fillId="0" borderId="44" xfId="1" applyFont="1" applyBorder="1" applyAlignment="1">
      <alignment vertical="top"/>
    </xf>
    <xf numFmtId="0" fontId="22" fillId="0" borderId="0" xfId="1" applyFont="1" applyAlignment="1">
      <alignment horizontal="left" indent="1"/>
    </xf>
    <xf numFmtId="1" fontId="22" fillId="2" borderId="0" xfId="1" applyNumberFormat="1" applyFont="1" applyFill="1" applyProtection="1">
      <protection hidden="1"/>
    </xf>
    <xf numFmtId="0" fontId="22" fillId="2" borderId="0" xfId="1" applyFont="1" applyFill="1" applyAlignment="1">
      <alignment horizontal="left"/>
    </xf>
    <xf numFmtId="0" fontId="21" fillId="2" borderId="0" xfId="1" applyFont="1" applyFill="1" applyAlignment="1">
      <alignment horizontal="left"/>
    </xf>
    <xf numFmtId="0" fontId="28" fillId="2" borderId="0" xfId="1" applyFont="1" applyFill="1" applyAlignment="1">
      <alignment horizontal="left"/>
    </xf>
    <xf numFmtId="0" fontId="29" fillId="2" borderId="0" xfId="1" applyFont="1" applyFill="1" applyAlignment="1">
      <alignment horizontal="left"/>
    </xf>
    <xf numFmtId="1" fontId="23" fillId="2" borderId="22" xfId="1" applyNumberFormat="1" applyFont="1" applyFill="1" applyBorder="1" applyAlignment="1"/>
    <xf numFmtId="0" fontId="24" fillId="2" borderId="14" xfId="1" applyFont="1" applyFill="1" applyBorder="1" applyAlignment="1">
      <alignment horizontal="left"/>
    </xf>
    <xf numFmtId="1" fontId="23" fillId="2" borderId="14" xfId="1" applyNumberFormat="1" applyFont="1" applyFill="1" applyBorder="1" applyAlignment="1">
      <alignment vertical="center" wrapText="1"/>
    </xf>
    <xf numFmtId="0" fontId="24" fillId="2" borderId="14" xfId="1" applyFont="1" applyFill="1" applyBorder="1" applyAlignment="1">
      <alignment vertical="top" wrapText="1"/>
    </xf>
    <xf numFmtId="0" fontId="22" fillId="2" borderId="0" xfId="1" applyFont="1" applyFill="1" applyAlignment="1">
      <alignment wrapText="1"/>
    </xf>
    <xf numFmtId="1" fontId="23" fillId="2" borderId="0" xfId="1" applyNumberFormat="1" applyFont="1" applyFill="1" applyBorder="1" applyAlignment="1"/>
    <xf numFmtId="0" fontId="22" fillId="2" borderId="0" xfId="1" applyFont="1" applyFill="1" applyBorder="1" applyAlignment="1"/>
    <xf numFmtId="1" fontId="22" fillId="2" borderId="0" xfId="1" applyNumberFormat="1" applyFont="1" applyFill="1" applyAlignment="1" applyProtection="1">
      <alignment vertical="center"/>
      <protection hidden="1"/>
    </xf>
    <xf numFmtId="0" fontId="22" fillId="2" borderId="0" xfId="1" applyFont="1" applyFill="1" applyAlignment="1">
      <alignment horizontal="left" vertical="center"/>
    </xf>
    <xf numFmtId="0" fontId="22" fillId="2" borderId="0" xfId="1" applyFont="1" applyFill="1" applyAlignment="1">
      <alignment vertical="center"/>
    </xf>
    <xf numFmtId="1" fontId="25" fillId="7" borderId="39" xfId="1" applyNumberFormat="1" applyFont="1" applyFill="1" applyBorder="1" applyAlignment="1">
      <alignment horizontal="center" vertical="center"/>
    </xf>
    <xf numFmtId="0" fontId="25" fillId="7" borderId="29" xfId="1" applyFont="1" applyFill="1" applyBorder="1" applyAlignment="1">
      <alignment horizontal="center" vertical="center"/>
    </xf>
    <xf numFmtId="0" fontId="25" fillId="7" borderId="30" xfId="1" applyFont="1" applyFill="1" applyBorder="1" applyAlignment="1">
      <alignment horizontal="center" vertical="center"/>
    </xf>
    <xf numFmtId="0" fontId="25" fillId="7" borderId="40" xfId="1" applyFont="1" applyFill="1" applyBorder="1" applyAlignment="1">
      <alignment horizontal="center" vertical="center"/>
    </xf>
    <xf numFmtId="0" fontId="30" fillId="2" borderId="0" xfId="1" applyFont="1" applyFill="1" applyAlignment="1">
      <alignment horizontal="center"/>
    </xf>
    <xf numFmtId="1" fontId="22" fillId="2" borderId="41" xfId="1" applyNumberFormat="1" applyFont="1" applyFill="1" applyBorder="1" applyAlignment="1">
      <alignment vertical="center"/>
    </xf>
    <xf numFmtId="49" fontId="22" fillId="2" borderId="33" xfId="1" applyNumberFormat="1" applyFont="1" applyFill="1" applyBorder="1" applyAlignment="1">
      <alignment horizontal="left" vertical="center"/>
    </xf>
    <xf numFmtId="0" fontId="22" fillId="2" borderId="33" xfId="1" applyFont="1" applyFill="1" applyBorder="1" applyAlignment="1">
      <alignment horizontal="left" vertical="center"/>
    </xf>
    <xf numFmtId="0" fontId="22" fillId="2" borderId="42" xfId="1" applyFont="1" applyFill="1" applyBorder="1" applyAlignment="1">
      <alignment horizontal="left" vertical="center"/>
    </xf>
    <xf numFmtId="1" fontId="22" fillId="2" borderId="43" xfId="1" applyNumberFormat="1" applyFont="1" applyFill="1" applyBorder="1" applyAlignment="1">
      <alignment vertical="center"/>
    </xf>
    <xf numFmtId="49" fontId="22" fillId="2" borderId="37" xfId="1" applyNumberFormat="1" applyFont="1" applyFill="1" applyBorder="1" applyAlignment="1">
      <alignment horizontal="left" vertical="center"/>
    </xf>
    <xf numFmtId="0" fontId="22" fillId="2" borderId="37" xfId="1" applyFont="1" applyFill="1" applyBorder="1" applyAlignment="1">
      <alignment horizontal="left" vertical="center"/>
    </xf>
    <xf numFmtId="0" fontId="22" fillId="2" borderId="44" xfId="1" applyFont="1" applyFill="1" applyBorder="1" applyAlignment="1">
      <alignment horizontal="left" vertical="center"/>
    </xf>
    <xf numFmtId="1" fontId="22" fillId="2" borderId="0" xfId="1" applyNumberFormat="1" applyFont="1" applyFill="1"/>
  </cellXfs>
  <cellStyles count="4">
    <cellStyle name="Normal" xfId="0" builtinId="0"/>
    <cellStyle name="Normal 2" xfId="1"/>
    <cellStyle name="Normal_Functional Test Case v1.0" xfId="3"/>
    <cellStyle name="Normal_Shee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ecurity%20Test%20cas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unctional%20test%20c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est case List"/>
      <sheetName val="Security test case"/>
      <sheetName val="Test Report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est case List"/>
      <sheetName val="Authentication"/>
      <sheetName val="Product"/>
      <sheetName val="Cart"/>
      <sheetName val="Order &amp; Payment"/>
      <sheetName val="Test Report"/>
    </sheetNames>
    <sheetDataSet>
      <sheetData sheetId="0">
        <row r="4">
          <cell r="C4" t="str">
            <v>&lt;Project Name&gt;</v>
          </cell>
        </row>
        <row r="5">
          <cell r="C5" t="str">
            <v>&lt;Project Code&gt;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G18"/>
  <sheetViews>
    <sheetView workbookViewId="0"/>
  </sheetViews>
  <sheetFormatPr defaultRowHeight="12.75"/>
  <cols>
    <col min="1" max="1" width="2.25" style="112" customWidth="1"/>
    <col min="2" max="2" width="19.625" style="146" customWidth="1"/>
    <col min="3" max="3" width="9.25" style="112" customWidth="1"/>
    <col min="4" max="4" width="14.5" style="112" customWidth="1"/>
    <col min="5" max="5" width="8" style="112" customWidth="1"/>
    <col min="6" max="6" width="31.125" style="112" customWidth="1"/>
    <col min="7" max="7" width="31" style="112" customWidth="1"/>
    <col min="8" max="16384" width="9" style="112"/>
  </cols>
  <sheetData>
    <row r="2" spans="1:7" s="111" customFormat="1" ht="75.75" customHeight="1">
      <c r="A2" s="108"/>
      <c r="B2" s="109"/>
      <c r="C2" s="110" t="s">
        <v>72</v>
      </c>
      <c r="D2" s="110"/>
      <c r="E2" s="110"/>
      <c r="F2" s="110"/>
      <c r="G2" s="110"/>
    </row>
    <row r="3" spans="1:7">
      <c r="B3" s="113"/>
      <c r="C3" s="114"/>
      <c r="F3" s="115"/>
    </row>
    <row r="4" spans="1:7" ht="14.25" customHeight="1">
      <c r="B4" s="116" t="s">
        <v>54</v>
      </c>
      <c r="C4" s="117" t="s">
        <v>55</v>
      </c>
      <c r="D4" s="117"/>
      <c r="E4" s="117"/>
      <c r="F4" s="116" t="s">
        <v>56</v>
      </c>
      <c r="G4" s="118"/>
    </row>
    <row r="5" spans="1:7" ht="14.25" customHeight="1">
      <c r="B5" s="116" t="s">
        <v>57</v>
      </c>
      <c r="C5" s="117" t="s">
        <v>58</v>
      </c>
      <c r="D5" s="117"/>
      <c r="E5" s="117"/>
      <c r="F5" s="116" t="s">
        <v>59</v>
      </c>
      <c r="G5" s="118"/>
    </row>
    <row r="6" spans="1:7" ht="15.75" customHeight="1">
      <c r="B6" s="119" t="s">
        <v>60</v>
      </c>
      <c r="C6" s="120" t="str">
        <f>C5&amp;"_"&amp;"XXX"&amp;"_"&amp;"vx.x"</f>
        <v>&lt;Project Code&gt;_XXX_vx.x</v>
      </c>
      <c r="D6" s="120"/>
      <c r="E6" s="120"/>
      <c r="F6" s="116" t="s">
        <v>61</v>
      </c>
      <c r="G6" s="121"/>
    </row>
    <row r="7" spans="1:7" ht="13.5" customHeight="1">
      <c r="B7" s="119"/>
      <c r="C7" s="120"/>
      <c r="D7" s="120"/>
      <c r="E7" s="120"/>
      <c r="F7" s="116" t="s">
        <v>73</v>
      </c>
      <c r="G7" s="121"/>
    </row>
    <row r="8" spans="1:7">
      <c r="B8" s="122"/>
      <c r="C8" s="123"/>
      <c r="D8" s="124"/>
      <c r="E8" s="124"/>
      <c r="F8" s="125"/>
      <c r="G8" s="126"/>
    </row>
    <row r="9" spans="1:7">
      <c r="B9" s="127"/>
      <c r="C9" s="128"/>
      <c r="D9" s="128"/>
      <c r="E9" s="128"/>
      <c r="F9" s="128"/>
    </row>
    <row r="10" spans="1:7">
      <c r="B10" s="129" t="s">
        <v>74</v>
      </c>
    </row>
    <row r="11" spans="1:7" s="130" customFormat="1">
      <c r="B11" s="131" t="s">
        <v>75</v>
      </c>
      <c r="C11" s="132" t="s">
        <v>73</v>
      </c>
      <c r="D11" s="132" t="s">
        <v>76</v>
      </c>
      <c r="E11" s="132" t="s">
        <v>77</v>
      </c>
      <c r="F11" s="132" t="s">
        <v>78</v>
      </c>
      <c r="G11" s="133" t="s">
        <v>79</v>
      </c>
    </row>
    <row r="12" spans="1:7" s="134" customFormat="1" ht="25.5">
      <c r="B12" s="135" t="s">
        <v>80</v>
      </c>
      <c r="C12" s="136"/>
      <c r="D12" s="137"/>
      <c r="E12" s="137"/>
      <c r="F12" s="138"/>
      <c r="G12" s="139" t="s">
        <v>81</v>
      </c>
    </row>
    <row r="13" spans="1:7" s="134" customFormat="1" ht="21.75" customHeight="1">
      <c r="B13" s="140"/>
      <c r="C13" s="136"/>
      <c r="D13" s="137"/>
      <c r="E13" s="137"/>
      <c r="F13" s="137"/>
      <c r="G13" s="141"/>
    </row>
    <row r="14" spans="1:7" s="134" customFormat="1" ht="19.5" customHeight="1">
      <c r="B14" s="140"/>
      <c r="C14" s="136"/>
      <c r="D14" s="137"/>
      <c r="E14" s="137"/>
      <c r="F14" s="137"/>
      <c r="G14" s="141"/>
    </row>
    <row r="15" spans="1:7" s="134" customFormat="1" ht="21.75" customHeight="1">
      <c r="B15" s="140"/>
      <c r="C15" s="136"/>
      <c r="D15" s="137"/>
      <c r="E15" s="137"/>
      <c r="F15" s="137"/>
      <c r="G15" s="141"/>
    </row>
    <row r="16" spans="1:7" s="134" customFormat="1" ht="19.5" customHeight="1">
      <c r="B16" s="140"/>
      <c r="C16" s="136"/>
      <c r="D16" s="137"/>
      <c r="E16" s="137"/>
      <c r="F16" s="137"/>
      <c r="G16" s="141"/>
    </row>
    <row r="17" spans="2:7" s="134" customFormat="1" ht="21.75" customHeight="1">
      <c r="B17" s="140"/>
      <c r="C17" s="136"/>
      <c r="D17" s="137"/>
      <c r="E17" s="137"/>
      <c r="F17" s="137"/>
      <c r="G17" s="141"/>
    </row>
    <row r="18" spans="2:7" s="134" customFormat="1" ht="19.5" customHeight="1">
      <c r="B18" s="142"/>
      <c r="C18" s="143"/>
      <c r="D18" s="144"/>
      <c r="E18" s="144"/>
      <c r="F18" s="144"/>
      <c r="G18" s="145"/>
    </row>
  </sheetData>
  <mergeCells count="5">
    <mergeCell ref="C2:G2"/>
    <mergeCell ref="C4:E4"/>
    <mergeCell ref="C5:E5"/>
    <mergeCell ref="B6:B7"/>
    <mergeCell ref="C6:E7"/>
  </mergeCells>
  <pageMargins left="0.47013888888888888" right="0.47013888888888888" top="0.5" bottom="0.35138888888888886" header="0.51180555555555562" footer="0.1701388888888889"/>
  <pageSetup paperSize="9" firstPageNumber="0" orientation="landscape" horizontalDpi="300" verticalDpi="300" r:id="rId1"/>
  <headerFooter alignWithMargins="0">
    <oddFooter>&amp;L&amp;"Tahoma,Regular"&amp;8 02ae-BM/PM/HDCV/FSOFT v2/0&amp;C&amp;"Tahoma,Regular"&amp;8Internal use&amp;R&amp;"tahomaTahoma,Regular"&amp;8&amp;P/&amp;N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4"/>
  <sheetViews>
    <sheetView workbookViewId="0">
      <selection activeCell="E20" sqref="E20"/>
    </sheetView>
  </sheetViews>
  <sheetFormatPr defaultRowHeight="12.75"/>
  <cols>
    <col min="1" max="1" width="1.375" style="115" customWidth="1"/>
    <col min="2" max="2" width="11.75" style="175" customWidth="1"/>
    <col min="3" max="3" width="26.5" style="148" customWidth="1"/>
    <col min="4" max="4" width="17.125" style="148" customWidth="1"/>
    <col min="5" max="5" width="28.125" style="148" customWidth="1"/>
    <col min="6" max="6" width="30.625" style="148" customWidth="1"/>
    <col min="7" max="256" width="9" style="115"/>
    <col min="257" max="257" width="1.375" style="115" customWidth="1"/>
    <col min="258" max="258" width="11.75" style="115" customWidth="1"/>
    <col min="259" max="259" width="26.5" style="115" customWidth="1"/>
    <col min="260" max="260" width="17.125" style="115" customWidth="1"/>
    <col min="261" max="261" width="28.125" style="115" customWidth="1"/>
    <col min="262" max="262" width="30.625" style="115" customWidth="1"/>
    <col min="263" max="512" width="9" style="115"/>
    <col min="513" max="513" width="1.375" style="115" customWidth="1"/>
    <col min="514" max="514" width="11.75" style="115" customWidth="1"/>
    <col min="515" max="515" width="26.5" style="115" customWidth="1"/>
    <col min="516" max="516" width="17.125" style="115" customWidth="1"/>
    <col min="517" max="517" width="28.125" style="115" customWidth="1"/>
    <col min="518" max="518" width="30.625" style="115" customWidth="1"/>
    <col min="519" max="768" width="9" style="115"/>
    <col min="769" max="769" width="1.375" style="115" customWidth="1"/>
    <col min="770" max="770" width="11.75" style="115" customWidth="1"/>
    <col min="771" max="771" width="26.5" style="115" customWidth="1"/>
    <col min="772" max="772" width="17.125" style="115" customWidth="1"/>
    <col min="773" max="773" width="28.125" style="115" customWidth="1"/>
    <col min="774" max="774" width="30.625" style="115" customWidth="1"/>
    <col min="775" max="1024" width="9" style="115"/>
    <col min="1025" max="1025" width="1.375" style="115" customWidth="1"/>
    <col min="1026" max="1026" width="11.75" style="115" customWidth="1"/>
    <col min="1027" max="1027" width="26.5" style="115" customWidth="1"/>
    <col min="1028" max="1028" width="17.125" style="115" customWidth="1"/>
    <col min="1029" max="1029" width="28.125" style="115" customWidth="1"/>
    <col min="1030" max="1030" width="30.625" style="115" customWidth="1"/>
    <col min="1031" max="1280" width="9" style="115"/>
    <col min="1281" max="1281" width="1.375" style="115" customWidth="1"/>
    <col min="1282" max="1282" width="11.75" style="115" customWidth="1"/>
    <col min="1283" max="1283" width="26.5" style="115" customWidth="1"/>
    <col min="1284" max="1284" width="17.125" style="115" customWidth="1"/>
    <col min="1285" max="1285" width="28.125" style="115" customWidth="1"/>
    <col min="1286" max="1286" width="30.625" style="115" customWidth="1"/>
    <col min="1287" max="1536" width="9" style="115"/>
    <col min="1537" max="1537" width="1.375" style="115" customWidth="1"/>
    <col min="1538" max="1538" width="11.75" style="115" customWidth="1"/>
    <col min="1539" max="1539" width="26.5" style="115" customWidth="1"/>
    <col min="1540" max="1540" width="17.125" style="115" customWidth="1"/>
    <col min="1541" max="1541" width="28.125" style="115" customWidth="1"/>
    <col min="1542" max="1542" width="30.625" style="115" customWidth="1"/>
    <col min="1543" max="1792" width="9" style="115"/>
    <col min="1793" max="1793" width="1.375" style="115" customWidth="1"/>
    <col min="1794" max="1794" width="11.75" style="115" customWidth="1"/>
    <col min="1795" max="1795" width="26.5" style="115" customWidth="1"/>
    <col min="1796" max="1796" width="17.125" style="115" customWidth="1"/>
    <col min="1797" max="1797" width="28.125" style="115" customWidth="1"/>
    <col min="1798" max="1798" width="30.625" style="115" customWidth="1"/>
    <col min="1799" max="2048" width="9" style="115"/>
    <col min="2049" max="2049" width="1.375" style="115" customWidth="1"/>
    <col min="2050" max="2050" width="11.75" style="115" customWidth="1"/>
    <col min="2051" max="2051" width="26.5" style="115" customWidth="1"/>
    <col min="2052" max="2052" width="17.125" style="115" customWidth="1"/>
    <col min="2053" max="2053" width="28.125" style="115" customWidth="1"/>
    <col min="2054" max="2054" width="30.625" style="115" customWidth="1"/>
    <col min="2055" max="2304" width="9" style="115"/>
    <col min="2305" max="2305" width="1.375" style="115" customWidth="1"/>
    <col min="2306" max="2306" width="11.75" style="115" customWidth="1"/>
    <col min="2307" max="2307" width="26.5" style="115" customWidth="1"/>
    <col min="2308" max="2308" width="17.125" style="115" customWidth="1"/>
    <col min="2309" max="2309" width="28.125" style="115" customWidth="1"/>
    <col min="2310" max="2310" width="30.625" style="115" customWidth="1"/>
    <col min="2311" max="2560" width="9" style="115"/>
    <col min="2561" max="2561" width="1.375" style="115" customWidth="1"/>
    <col min="2562" max="2562" width="11.75" style="115" customWidth="1"/>
    <col min="2563" max="2563" width="26.5" style="115" customWidth="1"/>
    <col min="2564" max="2564" width="17.125" style="115" customWidth="1"/>
    <col min="2565" max="2565" width="28.125" style="115" customWidth="1"/>
    <col min="2566" max="2566" width="30.625" style="115" customWidth="1"/>
    <col min="2567" max="2816" width="9" style="115"/>
    <col min="2817" max="2817" width="1.375" style="115" customWidth="1"/>
    <col min="2818" max="2818" width="11.75" style="115" customWidth="1"/>
    <col min="2819" max="2819" width="26.5" style="115" customWidth="1"/>
    <col min="2820" max="2820" width="17.125" style="115" customWidth="1"/>
    <col min="2821" max="2821" width="28.125" style="115" customWidth="1"/>
    <col min="2822" max="2822" width="30.625" style="115" customWidth="1"/>
    <col min="2823" max="3072" width="9" style="115"/>
    <col min="3073" max="3073" width="1.375" style="115" customWidth="1"/>
    <col min="3074" max="3074" width="11.75" style="115" customWidth="1"/>
    <col min="3075" max="3075" width="26.5" style="115" customWidth="1"/>
    <col min="3076" max="3076" width="17.125" style="115" customWidth="1"/>
    <col min="3077" max="3077" width="28.125" style="115" customWidth="1"/>
    <col min="3078" max="3078" width="30.625" style="115" customWidth="1"/>
    <col min="3079" max="3328" width="9" style="115"/>
    <col min="3329" max="3329" width="1.375" style="115" customWidth="1"/>
    <col min="3330" max="3330" width="11.75" style="115" customWidth="1"/>
    <col min="3331" max="3331" width="26.5" style="115" customWidth="1"/>
    <col min="3332" max="3332" width="17.125" style="115" customWidth="1"/>
    <col min="3333" max="3333" width="28.125" style="115" customWidth="1"/>
    <col min="3334" max="3334" width="30.625" style="115" customWidth="1"/>
    <col min="3335" max="3584" width="9" style="115"/>
    <col min="3585" max="3585" width="1.375" style="115" customWidth="1"/>
    <col min="3586" max="3586" width="11.75" style="115" customWidth="1"/>
    <col min="3587" max="3587" width="26.5" style="115" customWidth="1"/>
    <col min="3588" max="3588" width="17.125" style="115" customWidth="1"/>
    <col min="3589" max="3589" width="28.125" style="115" customWidth="1"/>
    <col min="3590" max="3590" width="30.625" style="115" customWidth="1"/>
    <col min="3591" max="3840" width="9" style="115"/>
    <col min="3841" max="3841" width="1.375" style="115" customWidth="1"/>
    <col min="3842" max="3842" width="11.75" style="115" customWidth="1"/>
    <col min="3843" max="3843" width="26.5" style="115" customWidth="1"/>
    <col min="3844" max="3844" width="17.125" style="115" customWidth="1"/>
    <col min="3845" max="3845" width="28.125" style="115" customWidth="1"/>
    <col min="3846" max="3846" width="30.625" style="115" customWidth="1"/>
    <col min="3847" max="4096" width="9" style="115"/>
    <col min="4097" max="4097" width="1.375" style="115" customWidth="1"/>
    <col min="4098" max="4098" width="11.75" style="115" customWidth="1"/>
    <col min="4099" max="4099" width="26.5" style="115" customWidth="1"/>
    <col min="4100" max="4100" width="17.125" style="115" customWidth="1"/>
    <col min="4101" max="4101" width="28.125" style="115" customWidth="1"/>
    <col min="4102" max="4102" width="30.625" style="115" customWidth="1"/>
    <col min="4103" max="4352" width="9" style="115"/>
    <col min="4353" max="4353" width="1.375" style="115" customWidth="1"/>
    <col min="4354" max="4354" width="11.75" style="115" customWidth="1"/>
    <col min="4355" max="4355" width="26.5" style="115" customWidth="1"/>
    <col min="4356" max="4356" width="17.125" style="115" customWidth="1"/>
    <col min="4357" max="4357" width="28.125" style="115" customWidth="1"/>
    <col min="4358" max="4358" width="30.625" style="115" customWidth="1"/>
    <col min="4359" max="4608" width="9" style="115"/>
    <col min="4609" max="4609" width="1.375" style="115" customWidth="1"/>
    <col min="4610" max="4610" width="11.75" style="115" customWidth="1"/>
    <col min="4611" max="4611" width="26.5" style="115" customWidth="1"/>
    <col min="4612" max="4612" width="17.125" style="115" customWidth="1"/>
    <col min="4613" max="4613" width="28.125" style="115" customWidth="1"/>
    <col min="4614" max="4614" width="30.625" style="115" customWidth="1"/>
    <col min="4615" max="4864" width="9" style="115"/>
    <col min="4865" max="4865" width="1.375" style="115" customWidth="1"/>
    <col min="4866" max="4866" width="11.75" style="115" customWidth="1"/>
    <col min="4867" max="4867" width="26.5" style="115" customWidth="1"/>
    <col min="4868" max="4868" width="17.125" style="115" customWidth="1"/>
    <col min="4869" max="4869" width="28.125" style="115" customWidth="1"/>
    <col min="4870" max="4870" width="30.625" style="115" customWidth="1"/>
    <col min="4871" max="5120" width="9" style="115"/>
    <col min="5121" max="5121" width="1.375" style="115" customWidth="1"/>
    <col min="5122" max="5122" width="11.75" style="115" customWidth="1"/>
    <col min="5123" max="5123" width="26.5" style="115" customWidth="1"/>
    <col min="5124" max="5124" width="17.125" style="115" customWidth="1"/>
    <col min="5125" max="5125" width="28.125" style="115" customWidth="1"/>
    <col min="5126" max="5126" width="30.625" style="115" customWidth="1"/>
    <col min="5127" max="5376" width="9" style="115"/>
    <col min="5377" max="5377" width="1.375" style="115" customWidth="1"/>
    <col min="5378" max="5378" width="11.75" style="115" customWidth="1"/>
    <col min="5379" max="5379" width="26.5" style="115" customWidth="1"/>
    <col min="5380" max="5380" width="17.125" style="115" customWidth="1"/>
    <col min="5381" max="5381" width="28.125" style="115" customWidth="1"/>
    <col min="5382" max="5382" width="30.625" style="115" customWidth="1"/>
    <col min="5383" max="5632" width="9" style="115"/>
    <col min="5633" max="5633" width="1.375" style="115" customWidth="1"/>
    <col min="5634" max="5634" width="11.75" style="115" customWidth="1"/>
    <col min="5635" max="5635" width="26.5" style="115" customWidth="1"/>
    <col min="5636" max="5636" width="17.125" style="115" customWidth="1"/>
    <col min="5637" max="5637" width="28.125" style="115" customWidth="1"/>
    <col min="5638" max="5638" width="30.625" style="115" customWidth="1"/>
    <col min="5639" max="5888" width="9" style="115"/>
    <col min="5889" max="5889" width="1.375" style="115" customWidth="1"/>
    <col min="5890" max="5890" width="11.75" style="115" customWidth="1"/>
    <col min="5891" max="5891" width="26.5" style="115" customWidth="1"/>
    <col min="5892" max="5892" width="17.125" style="115" customWidth="1"/>
    <col min="5893" max="5893" width="28.125" style="115" customWidth="1"/>
    <col min="5894" max="5894" width="30.625" style="115" customWidth="1"/>
    <col min="5895" max="6144" width="9" style="115"/>
    <col min="6145" max="6145" width="1.375" style="115" customWidth="1"/>
    <col min="6146" max="6146" width="11.75" style="115" customWidth="1"/>
    <col min="6147" max="6147" width="26.5" style="115" customWidth="1"/>
    <col min="6148" max="6148" width="17.125" style="115" customWidth="1"/>
    <col min="6149" max="6149" width="28.125" style="115" customWidth="1"/>
    <col min="6150" max="6150" width="30.625" style="115" customWidth="1"/>
    <col min="6151" max="6400" width="9" style="115"/>
    <col min="6401" max="6401" width="1.375" style="115" customWidth="1"/>
    <col min="6402" max="6402" width="11.75" style="115" customWidth="1"/>
    <col min="6403" max="6403" width="26.5" style="115" customWidth="1"/>
    <col min="6404" max="6404" width="17.125" style="115" customWidth="1"/>
    <col min="6405" max="6405" width="28.125" style="115" customWidth="1"/>
    <col min="6406" max="6406" width="30.625" style="115" customWidth="1"/>
    <col min="6407" max="6656" width="9" style="115"/>
    <col min="6657" max="6657" width="1.375" style="115" customWidth="1"/>
    <col min="6658" max="6658" width="11.75" style="115" customWidth="1"/>
    <col min="6659" max="6659" width="26.5" style="115" customWidth="1"/>
    <col min="6660" max="6660" width="17.125" style="115" customWidth="1"/>
    <col min="6661" max="6661" width="28.125" style="115" customWidth="1"/>
    <col min="6662" max="6662" width="30.625" style="115" customWidth="1"/>
    <col min="6663" max="6912" width="9" style="115"/>
    <col min="6913" max="6913" width="1.375" style="115" customWidth="1"/>
    <col min="6914" max="6914" width="11.75" style="115" customWidth="1"/>
    <col min="6915" max="6915" width="26.5" style="115" customWidth="1"/>
    <col min="6916" max="6916" width="17.125" style="115" customWidth="1"/>
    <col min="6917" max="6917" width="28.125" style="115" customWidth="1"/>
    <col min="6918" max="6918" width="30.625" style="115" customWidth="1"/>
    <col min="6919" max="7168" width="9" style="115"/>
    <col min="7169" max="7169" width="1.375" style="115" customWidth="1"/>
    <col min="7170" max="7170" width="11.75" style="115" customWidth="1"/>
    <col min="7171" max="7171" width="26.5" style="115" customWidth="1"/>
    <col min="7172" max="7172" width="17.125" style="115" customWidth="1"/>
    <col min="7173" max="7173" width="28.125" style="115" customWidth="1"/>
    <col min="7174" max="7174" width="30.625" style="115" customWidth="1"/>
    <col min="7175" max="7424" width="9" style="115"/>
    <col min="7425" max="7425" width="1.375" style="115" customWidth="1"/>
    <col min="7426" max="7426" width="11.75" style="115" customWidth="1"/>
    <col min="7427" max="7427" width="26.5" style="115" customWidth="1"/>
    <col min="7428" max="7428" width="17.125" style="115" customWidth="1"/>
    <col min="7429" max="7429" width="28.125" style="115" customWidth="1"/>
    <col min="7430" max="7430" width="30.625" style="115" customWidth="1"/>
    <col min="7431" max="7680" width="9" style="115"/>
    <col min="7681" max="7681" width="1.375" style="115" customWidth="1"/>
    <col min="7682" max="7682" width="11.75" style="115" customWidth="1"/>
    <col min="7683" max="7683" width="26.5" style="115" customWidth="1"/>
    <col min="7684" max="7684" width="17.125" style="115" customWidth="1"/>
    <col min="7685" max="7685" width="28.125" style="115" customWidth="1"/>
    <col min="7686" max="7686" width="30.625" style="115" customWidth="1"/>
    <col min="7687" max="7936" width="9" style="115"/>
    <col min="7937" max="7937" width="1.375" style="115" customWidth="1"/>
    <col min="7938" max="7938" width="11.75" style="115" customWidth="1"/>
    <col min="7939" max="7939" width="26.5" style="115" customWidth="1"/>
    <col min="7940" max="7940" width="17.125" style="115" customWidth="1"/>
    <col min="7941" max="7941" width="28.125" style="115" customWidth="1"/>
    <col min="7942" max="7942" width="30.625" style="115" customWidth="1"/>
    <col min="7943" max="8192" width="9" style="115"/>
    <col min="8193" max="8193" width="1.375" style="115" customWidth="1"/>
    <col min="8194" max="8194" width="11.75" style="115" customWidth="1"/>
    <col min="8195" max="8195" width="26.5" style="115" customWidth="1"/>
    <col min="8196" max="8196" width="17.125" style="115" customWidth="1"/>
    <col min="8197" max="8197" width="28.125" style="115" customWidth="1"/>
    <col min="8198" max="8198" width="30.625" style="115" customWidth="1"/>
    <col min="8199" max="8448" width="9" style="115"/>
    <col min="8449" max="8449" width="1.375" style="115" customWidth="1"/>
    <col min="8450" max="8450" width="11.75" style="115" customWidth="1"/>
    <col min="8451" max="8451" width="26.5" style="115" customWidth="1"/>
    <col min="8452" max="8452" width="17.125" style="115" customWidth="1"/>
    <col min="8453" max="8453" width="28.125" style="115" customWidth="1"/>
    <col min="8454" max="8454" width="30.625" style="115" customWidth="1"/>
    <col min="8455" max="8704" width="9" style="115"/>
    <col min="8705" max="8705" width="1.375" style="115" customWidth="1"/>
    <col min="8706" max="8706" width="11.75" style="115" customWidth="1"/>
    <col min="8707" max="8707" width="26.5" style="115" customWidth="1"/>
    <col min="8708" max="8708" width="17.125" style="115" customWidth="1"/>
    <col min="8709" max="8709" width="28.125" style="115" customWidth="1"/>
    <col min="8710" max="8710" width="30.625" style="115" customWidth="1"/>
    <col min="8711" max="8960" width="9" style="115"/>
    <col min="8961" max="8961" width="1.375" style="115" customWidth="1"/>
    <col min="8962" max="8962" width="11.75" style="115" customWidth="1"/>
    <col min="8963" max="8963" width="26.5" style="115" customWidth="1"/>
    <col min="8964" max="8964" width="17.125" style="115" customWidth="1"/>
    <col min="8965" max="8965" width="28.125" style="115" customWidth="1"/>
    <col min="8966" max="8966" width="30.625" style="115" customWidth="1"/>
    <col min="8967" max="9216" width="9" style="115"/>
    <col min="9217" max="9217" width="1.375" style="115" customWidth="1"/>
    <col min="9218" max="9218" width="11.75" style="115" customWidth="1"/>
    <col min="9219" max="9219" width="26.5" style="115" customWidth="1"/>
    <col min="9220" max="9220" width="17.125" style="115" customWidth="1"/>
    <col min="9221" max="9221" width="28.125" style="115" customWidth="1"/>
    <col min="9222" max="9222" width="30.625" style="115" customWidth="1"/>
    <col min="9223" max="9472" width="9" style="115"/>
    <col min="9473" max="9473" width="1.375" style="115" customWidth="1"/>
    <col min="9474" max="9474" width="11.75" style="115" customWidth="1"/>
    <col min="9475" max="9475" width="26.5" style="115" customWidth="1"/>
    <col min="9476" max="9476" width="17.125" style="115" customWidth="1"/>
    <col min="9477" max="9477" width="28.125" style="115" customWidth="1"/>
    <col min="9478" max="9478" width="30.625" style="115" customWidth="1"/>
    <col min="9479" max="9728" width="9" style="115"/>
    <col min="9729" max="9729" width="1.375" style="115" customWidth="1"/>
    <col min="9730" max="9730" width="11.75" style="115" customWidth="1"/>
    <col min="9731" max="9731" width="26.5" style="115" customWidth="1"/>
    <col min="9732" max="9732" width="17.125" style="115" customWidth="1"/>
    <col min="9733" max="9733" width="28.125" style="115" customWidth="1"/>
    <col min="9734" max="9734" width="30.625" style="115" customWidth="1"/>
    <col min="9735" max="9984" width="9" style="115"/>
    <col min="9985" max="9985" width="1.375" style="115" customWidth="1"/>
    <col min="9986" max="9986" width="11.75" style="115" customWidth="1"/>
    <col min="9987" max="9987" width="26.5" style="115" customWidth="1"/>
    <col min="9988" max="9988" width="17.125" style="115" customWidth="1"/>
    <col min="9989" max="9989" width="28.125" style="115" customWidth="1"/>
    <col min="9990" max="9990" width="30.625" style="115" customWidth="1"/>
    <col min="9991" max="10240" width="9" style="115"/>
    <col min="10241" max="10241" width="1.375" style="115" customWidth="1"/>
    <col min="10242" max="10242" width="11.75" style="115" customWidth="1"/>
    <col min="10243" max="10243" width="26.5" style="115" customWidth="1"/>
    <col min="10244" max="10244" width="17.125" style="115" customWidth="1"/>
    <col min="10245" max="10245" width="28.125" style="115" customWidth="1"/>
    <col min="10246" max="10246" width="30.625" style="115" customWidth="1"/>
    <col min="10247" max="10496" width="9" style="115"/>
    <col min="10497" max="10497" width="1.375" style="115" customWidth="1"/>
    <col min="10498" max="10498" width="11.75" style="115" customWidth="1"/>
    <col min="10499" max="10499" width="26.5" style="115" customWidth="1"/>
    <col min="10500" max="10500" width="17.125" style="115" customWidth="1"/>
    <col min="10501" max="10501" width="28.125" style="115" customWidth="1"/>
    <col min="10502" max="10502" width="30.625" style="115" customWidth="1"/>
    <col min="10503" max="10752" width="9" style="115"/>
    <col min="10753" max="10753" width="1.375" style="115" customWidth="1"/>
    <col min="10754" max="10754" width="11.75" style="115" customWidth="1"/>
    <col min="10755" max="10755" width="26.5" style="115" customWidth="1"/>
    <col min="10756" max="10756" width="17.125" style="115" customWidth="1"/>
    <col min="10757" max="10757" width="28.125" style="115" customWidth="1"/>
    <col min="10758" max="10758" width="30.625" style="115" customWidth="1"/>
    <col min="10759" max="11008" width="9" style="115"/>
    <col min="11009" max="11009" width="1.375" style="115" customWidth="1"/>
    <col min="11010" max="11010" width="11.75" style="115" customWidth="1"/>
    <col min="11011" max="11011" width="26.5" style="115" customWidth="1"/>
    <col min="11012" max="11012" width="17.125" style="115" customWidth="1"/>
    <col min="11013" max="11013" width="28.125" style="115" customWidth="1"/>
    <col min="11014" max="11014" width="30.625" style="115" customWidth="1"/>
    <col min="11015" max="11264" width="9" style="115"/>
    <col min="11265" max="11265" width="1.375" style="115" customWidth="1"/>
    <col min="11266" max="11266" width="11.75" style="115" customWidth="1"/>
    <col min="11267" max="11267" width="26.5" style="115" customWidth="1"/>
    <col min="11268" max="11268" width="17.125" style="115" customWidth="1"/>
    <col min="11269" max="11269" width="28.125" style="115" customWidth="1"/>
    <col min="11270" max="11270" width="30.625" style="115" customWidth="1"/>
    <col min="11271" max="11520" width="9" style="115"/>
    <col min="11521" max="11521" width="1.375" style="115" customWidth="1"/>
    <col min="11522" max="11522" width="11.75" style="115" customWidth="1"/>
    <col min="11523" max="11523" width="26.5" style="115" customWidth="1"/>
    <col min="11524" max="11524" width="17.125" style="115" customWidth="1"/>
    <col min="11525" max="11525" width="28.125" style="115" customWidth="1"/>
    <col min="11526" max="11526" width="30.625" style="115" customWidth="1"/>
    <col min="11527" max="11776" width="9" style="115"/>
    <col min="11777" max="11777" width="1.375" style="115" customWidth="1"/>
    <col min="11778" max="11778" width="11.75" style="115" customWidth="1"/>
    <col min="11779" max="11779" width="26.5" style="115" customWidth="1"/>
    <col min="11780" max="11780" width="17.125" style="115" customWidth="1"/>
    <col min="11781" max="11781" width="28.125" style="115" customWidth="1"/>
    <col min="11782" max="11782" width="30.625" style="115" customWidth="1"/>
    <col min="11783" max="12032" width="9" style="115"/>
    <col min="12033" max="12033" width="1.375" style="115" customWidth="1"/>
    <col min="12034" max="12034" width="11.75" style="115" customWidth="1"/>
    <col min="12035" max="12035" width="26.5" style="115" customWidth="1"/>
    <col min="12036" max="12036" width="17.125" style="115" customWidth="1"/>
    <col min="12037" max="12037" width="28.125" style="115" customWidth="1"/>
    <col min="12038" max="12038" width="30.625" style="115" customWidth="1"/>
    <col min="12039" max="12288" width="9" style="115"/>
    <col min="12289" max="12289" width="1.375" style="115" customWidth="1"/>
    <col min="12290" max="12290" width="11.75" style="115" customWidth="1"/>
    <col min="12291" max="12291" width="26.5" style="115" customWidth="1"/>
    <col min="12292" max="12292" width="17.125" style="115" customWidth="1"/>
    <col min="12293" max="12293" width="28.125" style="115" customWidth="1"/>
    <col min="12294" max="12294" width="30.625" style="115" customWidth="1"/>
    <col min="12295" max="12544" width="9" style="115"/>
    <col min="12545" max="12545" width="1.375" style="115" customWidth="1"/>
    <col min="12546" max="12546" width="11.75" style="115" customWidth="1"/>
    <col min="12547" max="12547" width="26.5" style="115" customWidth="1"/>
    <col min="12548" max="12548" width="17.125" style="115" customWidth="1"/>
    <col min="12549" max="12549" width="28.125" style="115" customWidth="1"/>
    <col min="12550" max="12550" width="30.625" style="115" customWidth="1"/>
    <col min="12551" max="12800" width="9" style="115"/>
    <col min="12801" max="12801" width="1.375" style="115" customWidth="1"/>
    <col min="12802" max="12802" width="11.75" style="115" customWidth="1"/>
    <col min="12803" max="12803" width="26.5" style="115" customWidth="1"/>
    <col min="12804" max="12804" width="17.125" style="115" customWidth="1"/>
    <col min="12805" max="12805" width="28.125" style="115" customWidth="1"/>
    <col min="12806" max="12806" width="30.625" style="115" customWidth="1"/>
    <col min="12807" max="13056" width="9" style="115"/>
    <col min="13057" max="13057" width="1.375" style="115" customWidth="1"/>
    <col min="13058" max="13058" width="11.75" style="115" customWidth="1"/>
    <col min="13059" max="13059" width="26.5" style="115" customWidth="1"/>
    <col min="13060" max="13060" width="17.125" style="115" customWidth="1"/>
    <col min="13061" max="13061" width="28.125" style="115" customWidth="1"/>
    <col min="13062" max="13062" width="30.625" style="115" customWidth="1"/>
    <col min="13063" max="13312" width="9" style="115"/>
    <col min="13313" max="13313" width="1.375" style="115" customWidth="1"/>
    <col min="13314" max="13314" width="11.75" style="115" customWidth="1"/>
    <col min="13315" max="13315" width="26.5" style="115" customWidth="1"/>
    <col min="13316" max="13316" width="17.125" style="115" customWidth="1"/>
    <col min="13317" max="13317" width="28.125" style="115" customWidth="1"/>
    <col min="13318" max="13318" width="30.625" style="115" customWidth="1"/>
    <col min="13319" max="13568" width="9" style="115"/>
    <col min="13569" max="13569" width="1.375" style="115" customWidth="1"/>
    <col min="13570" max="13570" width="11.75" style="115" customWidth="1"/>
    <col min="13571" max="13571" width="26.5" style="115" customWidth="1"/>
    <col min="13572" max="13572" width="17.125" style="115" customWidth="1"/>
    <col min="13573" max="13573" width="28.125" style="115" customWidth="1"/>
    <col min="13574" max="13574" width="30.625" style="115" customWidth="1"/>
    <col min="13575" max="13824" width="9" style="115"/>
    <col min="13825" max="13825" width="1.375" style="115" customWidth="1"/>
    <col min="13826" max="13826" width="11.75" style="115" customWidth="1"/>
    <col min="13827" max="13827" width="26.5" style="115" customWidth="1"/>
    <col min="13828" max="13828" width="17.125" style="115" customWidth="1"/>
    <col min="13829" max="13829" width="28.125" style="115" customWidth="1"/>
    <col min="13830" max="13830" width="30.625" style="115" customWidth="1"/>
    <col min="13831" max="14080" width="9" style="115"/>
    <col min="14081" max="14081" width="1.375" style="115" customWidth="1"/>
    <col min="14082" max="14082" width="11.75" style="115" customWidth="1"/>
    <col min="14083" max="14083" width="26.5" style="115" customWidth="1"/>
    <col min="14084" max="14084" width="17.125" style="115" customWidth="1"/>
    <col min="14085" max="14085" width="28.125" style="115" customWidth="1"/>
    <col min="14086" max="14086" width="30.625" style="115" customWidth="1"/>
    <col min="14087" max="14336" width="9" style="115"/>
    <col min="14337" max="14337" width="1.375" style="115" customWidth="1"/>
    <col min="14338" max="14338" width="11.75" style="115" customWidth="1"/>
    <col min="14339" max="14339" width="26.5" style="115" customWidth="1"/>
    <col min="14340" max="14340" width="17.125" style="115" customWidth="1"/>
    <col min="14341" max="14341" width="28.125" style="115" customWidth="1"/>
    <col min="14342" max="14342" width="30.625" style="115" customWidth="1"/>
    <col min="14343" max="14592" width="9" style="115"/>
    <col min="14593" max="14593" width="1.375" style="115" customWidth="1"/>
    <col min="14594" max="14594" width="11.75" style="115" customWidth="1"/>
    <col min="14595" max="14595" width="26.5" style="115" customWidth="1"/>
    <col min="14596" max="14596" width="17.125" style="115" customWidth="1"/>
    <col min="14597" max="14597" width="28.125" style="115" customWidth="1"/>
    <col min="14598" max="14598" width="30.625" style="115" customWidth="1"/>
    <col min="14599" max="14848" width="9" style="115"/>
    <col min="14849" max="14849" width="1.375" style="115" customWidth="1"/>
    <col min="14850" max="14850" width="11.75" style="115" customWidth="1"/>
    <col min="14851" max="14851" width="26.5" style="115" customWidth="1"/>
    <col min="14852" max="14852" width="17.125" style="115" customWidth="1"/>
    <col min="14853" max="14853" width="28.125" style="115" customWidth="1"/>
    <col min="14854" max="14854" width="30.625" style="115" customWidth="1"/>
    <col min="14855" max="15104" width="9" style="115"/>
    <col min="15105" max="15105" width="1.375" style="115" customWidth="1"/>
    <col min="15106" max="15106" width="11.75" style="115" customWidth="1"/>
    <col min="15107" max="15107" width="26.5" style="115" customWidth="1"/>
    <col min="15108" max="15108" width="17.125" style="115" customWidth="1"/>
    <col min="15109" max="15109" width="28.125" style="115" customWidth="1"/>
    <col min="15110" max="15110" width="30.625" style="115" customWidth="1"/>
    <col min="15111" max="15360" width="9" style="115"/>
    <col min="15361" max="15361" width="1.375" style="115" customWidth="1"/>
    <col min="15362" max="15362" width="11.75" style="115" customWidth="1"/>
    <col min="15363" max="15363" width="26.5" style="115" customWidth="1"/>
    <col min="15364" max="15364" width="17.125" style="115" customWidth="1"/>
    <col min="15365" max="15365" width="28.125" style="115" customWidth="1"/>
    <col min="15366" max="15366" width="30.625" style="115" customWidth="1"/>
    <col min="15367" max="15616" width="9" style="115"/>
    <col min="15617" max="15617" width="1.375" style="115" customWidth="1"/>
    <col min="15618" max="15618" width="11.75" style="115" customWidth="1"/>
    <col min="15619" max="15619" width="26.5" style="115" customWidth="1"/>
    <col min="15620" max="15620" width="17.125" style="115" customWidth="1"/>
    <col min="15621" max="15621" width="28.125" style="115" customWidth="1"/>
    <col min="15622" max="15622" width="30.625" style="115" customWidth="1"/>
    <col min="15623" max="15872" width="9" style="115"/>
    <col min="15873" max="15873" width="1.375" style="115" customWidth="1"/>
    <col min="15874" max="15874" width="11.75" style="115" customWidth="1"/>
    <col min="15875" max="15875" width="26.5" style="115" customWidth="1"/>
    <col min="15876" max="15876" width="17.125" style="115" customWidth="1"/>
    <col min="15877" max="15877" width="28.125" style="115" customWidth="1"/>
    <col min="15878" max="15878" width="30.625" style="115" customWidth="1"/>
    <col min="15879" max="16128" width="9" style="115"/>
    <col min="16129" max="16129" width="1.375" style="115" customWidth="1"/>
    <col min="16130" max="16130" width="11.75" style="115" customWidth="1"/>
    <col min="16131" max="16131" width="26.5" style="115" customWidth="1"/>
    <col min="16132" max="16132" width="17.125" style="115" customWidth="1"/>
    <col min="16133" max="16133" width="28.125" style="115" customWidth="1"/>
    <col min="16134" max="16134" width="30.625" style="115" customWidth="1"/>
    <col min="16135" max="16384" width="9" style="115"/>
  </cols>
  <sheetData>
    <row r="1" spans="2:6" ht="25.5">
      <c r="B1" s="147"/>
      <c r="D1" s="149" t="s">
        <v>82</v>
      </c>
      <c r="E1" s="150"/>
    </row>
    <row r="2" spans="2:6">
      <c r="B2" s="147"/>
      <c r="D2" s="151"/>
      <c r="E2" s="151"/>
    </row>
    <row r="3" spans="2:6">
      <c r="B3" s="152" t="s">
        <v>54</v>
      </c>
      <c r="C3" s="152"/>
      <c r="D3" s="153" t="str">
        <f>[2]Cover!C4</f>
        <v>&lt;Project Name&gt;</v>
      </c>
      <c r="E3" s="153"/>
      <c r="F3" s="153"/>
    </row>
    <row r="4" spans="2:6">
      <c r="B4" s="152" t="s">
        <v>57</v>
      </c>
      <c r="C4" s="152"/>
      <c r="D4" s="153" t="str">
        <f>[2]Cover!C5</f>
        <v>&lt;Project Code&gt;</v>
      </c>
      <c r="E4" s="153"/>
      <c r="F4" s="153"/>
    </row>
    <row r="5" spans="2:6" s="156" customFormat="1">
      <c r="B5" s="154" t="s">
        <v>83</v>
      </c>
      <c r="C5" s="154"/>
      <c r="D5" s="155" t="s">
        <v>84</v>
      </c>
      <c r="E5" s="155"/>
      <c r="F5" s="155"/>
    </row>
    <row r="6" spans="2:6">
      <c r="B6" s="157"/>
      <c r="C6" s="158"/>
      <c r="D6" s="158"/>
      <c r="E6" s="158"/>
      <c r="F6" s="158"/>
    </row>
    <row r="7" spans="2:6" s="161" customFormat="1">
      <c r="B7" s="159"/>
      <c r="C7" s="160"/>
      <c r="D7" s="160"/>
      <c r="E7" s="160"/>
      <c r="F7" s="160"/>
    </row>
    <row r="8" spans="2:6" s="166" customFormat="1">
      <c r="B8" s="162" t="s">
        <v>65</v>
      </c>
      <c r="C8" s="163" t="s">
        <v>85</v>
      </c>
      <c r="D8" s="163" t="s">
        <v>86</v>
      </c>
      <c r="E8" s="164" t="s">
        <v>35</v>
      </c>
      <c r="F8" s="165" t="s">
        <v>87</v>
      </c>
    </row>
    <row r="9" spans="2:6">
      <c r="B9" s="167"/>
      <c r="C9" s="168"/>
      <c r="D9" s="169"/>
      <c r="E9" s="169"/>
      <c r="F9" s="170"/>
    </row>
    <row r="10" spans="2:6">
      <c r="B10" s="167"/>
      <c r="C10" s="168"/>
      <c r="D10" s="169"/>
      <c r="E10" s="169"/>
      <c r="F10" s="170"/>
    </row>
    <row r="11" spans="2:6">
      <c r="B11" s="167"/>
      <c r="C11" s="168"/>
      <c r="D11" s="169"/>
      <c r="E11" s="169"/>
      <c r="F11" s="170"/>
    </row>
    <row r="12" spans="2:6">
      <c r="B12" s="167"/>
      <c r="C12" s="168"/>
      <c r="D12" s="169"/>
      <c r="E12" s="169"/>
      <c r="F12" s="170"/>
    </row>
    <row r="13" spans="2:6">
      <c r="B13" s="167"/>
      <c r="C13" s="168"/>
      <c r="D13" s="169"/>
      <c r="E13" s="169"/>
      <c r="F13" s="170"/>
    </row>
    <row r="14" spans="2:6">
      <c r="B14" s="171"/>
      <c r="C14" s="172"/>
      <c r="D14" s="173"/>
      <c r="E14" s="173"/>
      <c r="F14" s="174"/>
    </row>
  </sheetData>
  <mergeCells count="6">
    <mergeCell ref="B3:C3"/>
    <mergeCell ref="D3:F3"/>
    <mergeCell ref="B4:C4"/>
    <mergeCell ref="D4:F4"/>
    <mergeCell ref="B5:C5"/>
    <mergeCell ref="D5:F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8"/>
  <sheetViews>
    <sheetView workbookViewId="0">
      <pane ySplit="8" topLeftCell="A9" activePane="bottomLeft" state="frozen"/>
      <selection pane="bottomLeft" activeCell="K14" sqref="K14"/>
    </sheetView>
  </sheetViews>
  <sheetFormatPr defaultRowHeight="12.75"/>
  <cols>
    <col min="1" max="1" width="11.75" style="1" customWidth="1"/>
    <col min="2" max="2" width="19.125" style="1" customWidth="1"/>
    <col min="3" max="3" width="32.125" style="1" customWidth="1"/>
    <col min="4" max="4" width="28.5" style="1" customWidth="1"/>
    <col min="5" max="5" width="15" style="1" customWidth="1"/>
    <col min="6" max="6" width="7.125" style="1" customWidth="1"/>
    <col min="7" max="7" width="11.75" style="3" customWidth="1"/>
    <col min="8" max="8" width="31.875" style="1" customWidth="1"/>
    <col min="9" max="9" width="8.25" style="2" customWidth="1"/>
    <col min="10" max="10" width="9" style="1" hidden="1" customWidth="1"/>
    <col min="11" max="16384" width="9" style="1"/>
  </cols>
  <sheetData>
    <row r="1" spans="1:17" s="24" customFormat="1" ht="13.5" thickBot="1">
      <c r="A1" s="71"/>
      <c r="B1" s="70"/>
      <c r="C1" s="70"/>
      <c r="D1" s="70"/>
      <c r="E1" s="70"/>
      <c r="F1" s="69"/>
      <c r="G1" s="68"/>
      <c r="H1" s="62"/>
      <c r="I1" s="61"/>
    </row>
    <row r="2" spans="1:17" s="24" customFormat="1" ht="15" customHeight="1">
      <c r="A2" s="65" t="s">
        <v>52</v>
      </c>
      <c r="B2" s="66" t="s">
        <v>51</v>
      </c>
      <c r="C2" s="66"/>
      <c r="D2" s="66"/>
      <c r="E2" s="66"/>
      <c r="F2" s="66"/>
      <c r="G2" s="63"/>
      <c r="H2" s="62"/>
      <c r="I2" s="61"/>
      <c r="J2" s="24" t="s">
        <v>47</v>
      </c>
    </row>
    <row r="3" spans="1:17" s="24" customFormat="1" ht="25.5" customHeight="1">
      <c r="A3" s="67" t="s">
        <v>50</v>
      </c>
      <c r="B3" s="66" t="s">
        <v>49</v>
      </c>
      <c r="C3" s="66"/>
      <c r="D3" s="66"/>
      <c r="E3" s="66"/>
      <c r="F3" s="66"/>
      <c r="G3" s="63"/>
      <c r="H3" s="62"/>
      <c r="I3" s="61"/>
      <c r="J3" s="24" t="s">
        <v>46</v>
      </c>
    </row>
    <row r="4" spans="1:17" s="24" customFormat="1" ht="18" customHeight="1">
      <c r="A4" s="65" t="s">
        <v>48</v>
      </c>
      <c r="B4" s="64"/>
      <c r="C4" s="64"/>
      <c r="D4" s="64"/>
      <c r="E4" s="64"/>
      <c r="F4" s="64"/>
      <c r="G4" s="63"/>
      <c r="H4" s="62"/>
      <c r="I4" s="61"/>
      <c r="J4" s="60"/>
    </row>
    <row r="5" spans="1:17" s="24" customFormat="1" ht="19.5" customHeight="1">
      <c r="A5" s="59" t="s">
        <v>47</v>
      </c>
      <c r="B5" s="58" t="s">
        <v>46</v>
      </c>
      <c r="C5" s="58" t="s">
        <v>45</v>
      </c>
      <c r="D5" s="57" t="s">
        <v>42</v>
      </c>
      <c r="E5" s="56" t="s">
        <v>44</v>
      </c>
      <c r="F5" s="56"/>
      <c r="G5" s="50"/>
      <c r="H5" s="50"/>
      <c r="I5" s="49"/>
      <c r="J5" s="24" t="s">
        <v>43</v>
      </c>
    </row>
    <row r="6" spans="1:17" s="24" customFormat="1" ht="15" customHeight="1" thickBot="1">
      <c r="A6" s="55">
        <f>COUNTIF(F9:F997,"Pass")</f>
        <v>0</v>
      </c>
      <c r="B6" s="54">
        <f>COUNTIF(F9:F997,"Fail")</f>
        <v>0</v>
      </c>
      <c r="C6" s="54">
        <f>E6-D6-B6-A6</f>
        <v>7</v>
      </c>
      <c r="D6" s="53">
        <f>COUNTIF(F$9:F$997,"N/A")</f>
        <v>0</v>
      </c>
      <c r="E6" s="52">
        <f>COUNTA(A9:A997)</f>
        <v>7</v>
      </c>
      <c r="F6" s="52"/>
      <c r="G6" s="50"/>
      <c r="H6" s="50"/>
      <c r="I6" s="49"/>
      <c r="J6" s="24" t="s">
        <v>42</v>
      </c>
    </row>
    <row r="7" spans="1:17" s="24" customFormat="1" ht="15" customHeight="1">
      <c r="D7" s="51"/>
      <c r="E7" s="51"/>
      <c r="F7" s="50"/>
      <c r="G7" s="50"/>
      <c r="H7" s="50"/>
      <c r="I7" s="49"/>
    </row>
    <row r="8" spans="1:17" s="24" customFormat="1" ht="25.5" customHeight="1">
      <c r="A8" s="48" t="s">
        <v>41</v>
      </c>
      <c r="B8" s="48" t="s">
        <v>40</v>
      </c>
      <c r="C8" s="48" t="s">
        <v>39</v>
      </c>
      <c r="D8" s="48" t="s">
        <v>38</v>
      </c>
      <c r="E8" s="48" t="s">
        <v>36</v>
      </c>
      <c r="F8" s="48" t="s">
        <v>37</v>
      </c>
      <c r="G8" s="48" t="s">
        <v>36</v>
      </c>
      <c r="H8" s="47" t="s">
        <v>35</v>
      </c>
      <c r="I8" s="46"/>
    </row>
    <row r="9" spans="1:17" s="41" customFormat="1" ht="105">
      <c r="A9" s="37" t="s">
        <v>34</v>
      </c>
      <c r="B9" s="37" t="s">
        <v>33</v>
      </c>
      <c r="C9" s="36" t="s">
        <v>32</v>
      </c>
      <c r="D9" s="36" t="s">
        <v>31</v>
      </c>
      <c r="E9" s="36" t="s">
        <v>30</v>
      </c>
      <c r="F9" s="45"/>
      <c r="G9" s="44"/>
      <c r="H9" s="43"/>
      <c r="I9" s="23"/>
      <c r="K9" s="9"/>
      <c r="L9" s="9"/>
      <c r="M9" s="9"/>
      <c r="N9" s="9"/>
      <c r="O9" s="9"/>
    </row>
    <row r="10" spans="1:17" s="41" customFormat="1" ht="114">
      <c r="A10" s="37" t="s">
        <v>29</v>
      </c>
      <c r="B10" s="37" t="s">
        <v>28</v>
      </c>
      <c r="C10" s="36" t="s">
        <v>27</v>
      </c>
      <c r="D10" s="36" t="s">
        <v>26</v>
      </c>
      <c r="E10" s="36" t="s">
        <v>25</v>
      </c>
      <c r="F10" s="45"/>
      <c r="G10" s="44"/>
      <c r="H10" s="43"/>
      <c r="I10" s="23"/>
      <c r="K10" s="42"/>
      <c r="L10" s="42"/>
      <c r="M10" s="42"/>
      <c r="N10" s="42"/>
      <c r="O10" s="42"/>
    </row>
    <row r="11" spans="1:17" ht="128.25">
      <c r="A11" s="37" t="s">
        <v>24</v>
      </c>
      <c r="B11" s="37" t="s">
        <v>23</v>
      </c>
      <c r="C11" s="36" t="s">
        <v>22</v>
      </c>
      <c r="D11" s="36" t="s">
        <v>21</v>
      </c>
      <c r="E11" s="36" t="s">
        <v>20</v>
      </c>
      <c r="F11" s="40"/>
      <c r="G11" s="39"/>
      <c r="H11" s="38"/>
      <c r="I11" s="23"/>
      <c r="K11" s="9"/>
      <c r="L11" s="9"/>
      <c r="M11" s="8"/>
      <c r="N11" s="8"/>
      <c r="O11" s="8"/>
      <c r="P11" s="5"/>
    </row>
    <row r="12" spans="1:17" ht="114">
      <c r="A12" s="37" t="s">
        <v>19</v>
      </c>
      <c r="B12" s="37" t="s">
        <v>18</v>
      </c>
      <c r="C12" s="36" t="s">
        <v>17</v>
      </c>
      <c r="D12" s="36" t="s">
        <v>16</v>
      </c>
      <c r="E12" s="36" t="s">
        <v>15</v>
      </c>
      <c r="F12" s="40"/>
      <c r="G12" s="39"/>
      <c r="H12" s="38"/>
      <c r="I12" s="23"/>
      <c r="K12" s="9"/>
      <c r="L12" s="9"/>
      <c r="M12" s="8"/>
      <c r="N12" s="8"/>
      <c r="O12" s="8"/>
      <c r="P12" s="5"/>
    </row>
    <row r="13" spans="1:17" s="24" customFormat="1" ht="85.5">
      <c r="A13" s="37" t="s">
        <v>14</v>
      </c>
      <c r="B13" s="36" t="s">
        <v>13</v>
      </c>
      <c r="C13" s="36" t="s">
        <v>12</v>
      </c>
      <c r="D13" s="36" t="s">
        <v>11</v>
      </c>
      <c r="E13" s="36" t="s">
        <v>10</v>
      </c>
      <c r="F13" s="40"/>
      <c r="G13" s="39"/>
      <c r="H13" s="38"/>
      <c r="I13" s="26"/>
      <c r="K13" s="9"/>
      <c r="L13" s="9"/>
      <c r="M13" s="8"/>
      <c r="N13" s="8"/>
      <c r="O13" s="8"/>
      <c r="P13" s="25"/>
      <c r="Q13" s="25"/>
    </row>
    <row r="14" spans="1:17" ht="85.5">
      <c r="A14" s="37" t="s">
        <v>9</v>
      </c>
      <c r="B14" s="36" t="s">
        <v>8</v>
      </c>
      <c r="C14" s="36" t="s">
        <v>7</v>
      </c>
      <c r="D14" s="36" t="s">
        <v>6</v>
      </c>
      <c r="E14" s="36" t="s">
        <v>5</v>
      </c>
      <c r="F14" s="35"/>
      <c r="G14" s="34"/>
      <c r="H14" s="33"/>
      <c r="I14" s="23"/>
      <c r="K14" s="9"/>
      <c r="L14" s="9"/>
      <c r="M14" s="8"/>
      <c r="N14" s="8"/>
      <c r="O14" s="8"/>
      <c r="P14" s="5"/>
    </row>
    <row r="15" spans="1:17" ht="71.25">
      <c r="A15" s="32" t="s">
        <v>4</v>
      </c>
      <c r="B15" s="31" t="s">
        <v>3</v>
      </c>
      <c r="C15" s="31" t="s">
        <v>2</v>
      </c>
      <c r="D15" s="31" t="s">
        <v>1</v>
      </c>
      <c r="E15" s="31" t="s">
        <v>0</v>
      </c>
      <c r="F15" s="30"/>
      <c r="G15" s="30"/>
      <c r="H15" s="29"/>
      <c r="I15" s="14"/>
      <c r="K15" s="15"/>
      <c r="L15" s="15"/>
      <c r="M15" s="15"/>
      <c r="N15" s="15"/>
      <c r="O15" s="15"/>
      <c r="P15" s="5"/>
    </row>
    <row r="16" spans="1:17" s="24" customFormat="1" ht="15.75" customHeight="1">
      <c r="A16" s="28"/>
      <c r="B16" s="28"/>
      <c r="C16" s="28"/>
      <c r="D16" s="28"/>
      <c r="E16" s="28"/>
      <c r="F16" s="28"/>
      <c r="G16" s="28"/>
      <c r="H16" s="27"/>
      <c r="I16" s="26"/>
      <c r="K16" s="9"/>
      <c r="L16" s="9"/>
      <c r="M16" s="8"/>
      <c r="N16" s="8"/>
      <c r="O16" s="8"/>
      <c r="P16" s="25"/>
    </row>
    <row r="17" spans="2:16" ht="15">
      <c r="I17" s="23"/>
      <c r="K17" s="9"/>
      <c r="L17" s="9"/>
      <c r="M17" s="8"/>
      <c r="N17" s="8"/>
      <c r="O17" s="8"/>
      <c r="P17" s="5"/>
    </row>
    <row r="18" spans="2:16" ht="12.75" customHeight="1">
      <c r="B18" s="22"/>
      <c r="C18" s="21"/>
      <c r="D18" s="5"/>
      <c r="E18" s="5"/>
      <c r="F18" s="5"/>
      <c r="G18" s="4"/>
      <c r="H18" s="20"/>
      <c r="K18" s="9"/>
      <c r="L18" s="9"/>
      <c r="M18" s="8"/>
      <c r="N18" s="8"/>
      <c r="O18" s="8"/>
      <c r="P18" s="5"/>
    </row>
    <row r="19" spans="2:16" ht="15">
      <c r="B19" s="19"/>
      <c r="C19" s="18"/>
      <c r="D19" s="7"/>
      <c r="E19" s="7"/>
      <c r="F19" s="7"/>
      <c r="G19" s="6"/>
      <c r="H19" s="11"/>
      <c r="K19" s="9"/>
      <c r="L19" s="9"/>
      <c r="M19" s="8"/>
      <c r="N19" s="8"/>
      <c r="O19" s="8"/>
      <c r="P19" s="5"/>
    </row>
    <row r="20" spans="2:16" ht="16.5" customHeight="1">
      <c r="B20" s="17"/>
      <c r="C20" s="16"/>
      <c r="D20" s="9"/>
      <c r="E20" s="9"/>
      <c r="F20" s="9"/>
      <c r="G20" s="6"/>
      <c r="H20" s="11"/>
      <c r="K20" s="15"/>
      <c r="L20" s="15"/>
      <c r="M20" s="15"/>
      <c r="N20" s="15"/>
      <c r="O20" s="15"/>
      <c r="P20" s="5"/>
    </row>
    <row r="21" spans="2:16" ht="15">
      <c r="B21" s="7"/>
      <c r="C21" s="9"/>
      <c r="D21" s="7"/>
      <c r="E21" s="7"/>
      <c r="F21" s="7"/>
      <c r="G21" s="6"/>
      <c r="H21" s="11"/>
      <c r="K21" s="9"/>
      <c r="L21" s="9"/>
      <c r="M21" s="8"/>
      <c r="N21" s="8"/>
      <c r="O21" s="8"/>
      <c r="P21" s="5"/>
    </row>
    <row r="22" spans="2:16" ht="15">
      <c r="B22" s="9"/>
      <c r="C22" s="9"/>
      <c r="D22" s="8"/>
      <c r="E22" s="8"/>
      <c r="F22" s="12"/>
      <c r="G22" s="6"/>
      <c r="H22" s="11"/>
      <c r="K22" s="9"/>
      <c r="L22" s="9"/>
      <c r="M22" s="8"/>
      <c r="N22" s="8"/>
      <c r="O22" s="8"/>
      <c r="P22" s="5"/>
    </row>
    <row r="23" spans="2:16" ht="15">
      <c r="B23" s="9"/>
      <c r="C23" s="9"/>
      <c r="D23" s="8"/>
      <c r="E23" s="8"/>
      <c r="F23" s="12"/>
      <c r="G23" s="6"/>
      <c r="H23" s="11"/>
      <c r="K23" s="9"/>
      <c r="L23" s="9"/>
      <c r="M23" s="8"/>
      <c r="N23" s="8"/>
      <c r="O23" s="13"/>
      <c r="P23" s="5"/>
    </row>
    <row r="24" spans="2:16" ht="15">
      <c r="B24" s="9"/>
      <c r="C24" s="9"/>
      <c r="D24" s="8"/>
      <c r="E24" s="8"/>
      <c r="F24" s="12"/>
      <c r="G24" s="6"/>
      <c r="H24" s="11"/>
      <c r="K24" s="9"/>
      <c r="L24" s="9"/>
      <c r="M24" s="8"/>
      <c r="N24" s="8"/>
      <c r="O24" s="13"/>
      <c r="P24" s="5"/>
    </row>
    <row r="25" spans="2:16" ht="15">
      <c r="B25" s="9"/>
      <c r="C25" s="9"/>
      <c r="D25" s="8"/>
      <c r="E25" s="8"/>
      <c r="F25" s="12"/>
      <c r="G25" s="6"/>
      <c r="H25" s="11"/>
      <c r="K25" s="15"/>
      <c r="L25" s="15"/>
      <c r="M25" s="15"/>
      <c r="N25" s="15"/>
      <c r="O25" s="15"/>
      <c r="P25" s="5"/>
    </row>
    <row r="26" spans="2:16" ht="15">
      <c r="B26" s="9"/>
      <c r="C26" s="9"/>
      <c r="D26" s="8"/>
      <c r="E26" s="8"/>
      <c r="F26" s="12"/>
      <c r="G26" s="6"/>
      <c r="H26" s="5"/>
      <c r="K26" s="9"/>
      <c r="L26" s="9"/>
      <c r="M26" s="8"/>
      <c r="N26" s="8"/>
      <c r="O26" s="8"/>
      <c r="P26" s="5"/>
    </row>
    <row r="27" spans="2:16" ht="43.5" customHeight="1">
      <c r="B27" s="9"/>
      <c r="C27" s="9"/>
      <c r="D27" s="8"/>
      <c r="E27" s="8"/>
      <c r="F27" s="12"/>
      <c r="G27" s="6"/>
      <c r="H27" s="11"/>
      <c r="K27" s="9"/>
      <c r="L27" s="9"/>
      <c r="M27" s="8"/>
      <c r="N27" s="8"/>
      <c r="O27" s="8"/>
    </row>
    <row r="28" spans="2:16">
      <c r="B28" s="7"/>
      <c r="C28" s="7"/>
      <c r="D28" s="7"/>
      <c r="E28" s="7"/>
      <c r="F28" s="7"/>
      <c r="G28" s="6"/>
      <c r="H28" s="11"/>
      <c r="K28" s="15"/>
      <c r="L28" s="15"/>
      <c r="M28" s="15"/>
      <c r="N28" s="15"/>
      <c r="O28" s="15"/>
    </row>
    <row r="29" spans="2:16" ht="15">
      <c r="B29" s="9"/>
      <c r="C29" s="9"/>
      <c r="D29" s="8"/>
      <c r="E29" s="8"/>
      <c r="F29" s="8"/>
      <c r="G29" s="6"/>
      <c r="H29" s="11"/>
      <c r="K29" s="9"/>
      <c r="L29" s="9"/>
      <c r="M29" s="8"/>
      <c r="N29" s="8"/>
      <c r="O29" s="8"/>
    </row>
    <row r="30" spans="2:16" ht="15">
      <c r="B30" s="9"/>
      <c r="C30" s="9"/>
      <c r="D30" s="8"/>
      <c r="E30" s="8"/>
      <c r="F30" s="8"/>
      <c r="G30" s="6"/>
      <c r="H30" s="11"/>
      <c r="K30" s="9"/>
      <c r="L30" s="9"/>
      <c r="M30" s="8"/>
      <c r="N30" s="8"/>
      <c r="O30" s="8"/>
    </row>
    <row r="31" spans="2:16" ht="15">
      <c r="B31" s="9"/>
      <c r="C31" s="9"/>
      <c r="D31" s="8"/>
      <c r="E31" s="8"/>
      <c r="F31" s="13"/>
      <c r="G31" s="6"/>
      <c r="H31" s="11"/>
      <c r="K31" s="9"/>
      <c r="L31" s="9"/>
      <c r="M31" s="8"/>
      <c r="N31" s="8"/>
      <c r="O31" s="8"/>
    </row>
    <row r="32" spans="2:16" ht="144" customHeight="1">
      <c r="B32" s="9"/>
      <c r="C32" s="9"/>
      <c r="D32" s="8"/>
      <c r="E32" s="8"/>
      <c r="F32" s="13"/>
      <c r="G32" s="6"/>
      <c r="H32" s="5"/>
      <c r="K32" s="9"/>
      <c r="L32" s="9"/>
      <c r="M32" s="8"/>
      <c r="N32" s="8"/>
      <c r="O32" s="8"/>
    </row>
    <row r="33" spans="2:16" ht="15">
      <c r="B33" s="9"/>
      <c r="C33" s="9"/>
      <c r="D33" s="8"/>
      <c r="E33" s="8"/>
      <c r="F33" s="13"/>
      <c r="G33" s="6"/>
      <c r="H33" s="5"/>
      <c r="I33" s="14"/>
      <c r="J33" s="5"/>
      <c r="K33" s="9"/>
      <c r="L33" s="9"/>
      <c r="M33" s="8"/>
      <c r="N33" s="8"/>
      <c r="O33" s="8"/>
    </row>
    <row r="34" spans="2:16" ht="15">
      <c r="B34" s="9"/>
      <c r="C34" s="9"/>
      <c r="D34" s="8"/>
      <c r="E34" s="8"/>
      <c r="F34" s="13"/>
      <c r="G34" s="6"/>
      <c r="H34" s="11"/>
      <c r="K34" s="9"/>
      <c r="L34" s="9"/>
      <c r="M34" s="8"/>
      <c r="N34" s="8"/>
      <c r="O34" s="8"/>
      <c r="P34" s="5"/>
    </row>
    <row r="35" spans="2:16" ht="15">
      <c r="B35" s="9"/>
      <c r="C35" s="9"/>
      <c r="D35" s="8"/>
      <c r="E35" s="8"/>
      <c r="F35" s="13"/>
      <c r="G35" s="6"/>
      <c r="H35" s="11"/>
      <c r="K35" s="5"/>
      <c r="L35" s="5"/>
      <c r="M35" s="5"/>
      <c r="N35" s="5"/>
      <c r="O35" s="5"/>
      <c r="P35" s="5"/>
    </row>
    <row r="36" spans="2:16" ht="15.75" customHeight="1">
      <c r="B36" s="9"/>
      <c r="C36" s="9"/>
      <c r="D36" s="8"/>
      <c r="E36" s="8"/>
      <c r="F36" s="13"/>
      <c r="G36" s="6"/>
      <c r="H36" s="11"/>
      <c r="K36" s="5"/>
      <c r="L36" s="5"/>
      <c r="M36" s="5"/>
      <c r="N36" s="5"/>
      <c r="O36" s="5"/>
    </row>
    <row r="37" spans="2:16" ht="144" customHeight="1">
      <c r="B37" s="7"/>
      <c r="C37" s="7"/>
      <c r="D37" s="7"/>
      <c r="E37" s="7"/>
      <c r="F37" s="7"/>
      <c r="G37" s="6"/>
      <c r="H37" s="11"/>
      <c r="K37" s="5"/>
      <c r="L37" s="5"/>
      <c r="M37" s="5"/>
      <c r="N37" s="5"/>
      <c r="O37" s="5"/>
    </row>
    <row r="38" spans="2:16" ht="15">
      <c r="B38" s="9"/>
      <c r="C38" s="9"/>
      <c r="D38" s="8"/>
      <c r="E38" s="8"/>
      <c r="F38" s="12"/>
      <c r="G38" s="6"/>
      <c r="H38" s="11"/>
    </row>
    <row r="39" spans="2:16" ht="15">
      <c r="B39" s="9"/>
      <c r="C39" s="9"/>
      <c r="D39" s="8"/>
      <c r="E39" s="8"/>
      <c r="F39" s="12"/>
      <c r="G39" s="6"/>
      <c r="H39" s="11"/>
    </row>
    <row r="40" spans="2:16" ht="15">
      <c r="B40" s="9"/>
      <c r="C40" s="9"/>
      <c r="D40" s="8"/>
      <c r="E40" s="8"/>
      <c r="F40" s="12"/>
      <c r="G40" s="6"/>
      <c r="H40" s="11"/>
    </row>
    <row r="41" spans="2:16" ht="15">
      <c r="B41" s="9"/>
      <c r="C41" s="9"/>
      <c r="D41" s="8"/>
      <c r="E41" s="8"/>
      <c r="F41" s="12"/>
      <c r="G41" s="6"/>
      <c r="H41" s="11"/>
    </row>
    <row r="42" spans="2:16" ht="159" customHeight="1">
      <c r="B42" s="9"/>
      <c r="C42" s="9"/>
      <c r="D42" s="8"/>
      <c r="E42" s="8"/>
      <c r="F42" s="12"/>
      <c r="G42" s="6"/>
      <c r="H42" s="11"/>
    </row>
    <row r="43" spans="2:16" ht="15">
      <c r="B43" s="9"/>
      <c r="C43" s="9"/>
      <c r="D43" s="8"/>
      <c r="E43" s="8"/>
      <c r="F43" s="12"/>
      <c r="G43" s="6"/>
      <c r="H43" s="11"/>
    </row>
    <row r="44" spans="2:16" ht="15">
      <c r="B44" s="9"/>
      <c r="C44" s="9"/>
      <c r="D44" s="8"/>
      <c r="E44" s="8"/>
      <c r="F44" s="12"/>
      <c r="G44" s="6"/>
      <c r="H44" s="11"/>
    </row>
    <row r="45" spans="2:16" ht="15">
      <c r="B45" s="9"/>
      <c r="C45" s="9"/>
      <c r="D45" s="8"/>
      <c r="E45" s="8"/>
      <c r="F45" s="12"/>
      <c r="G45" s="6"/>
      <c r="H45" s="11"/>
    </row>
    <row r="46" spans="2:16">
      <c r="B46" s="7"/>
      <c r="C46" s="7"/>
      <c r="D46" s="7"/>
      <c r="E46" s="7"/>
      <c r="F46" s="7"/>
      <c r="G46" s="6"/>
      <c r="H46" s="11"/>
    </row>
    <row r="47" spans="2:16" ht="15">
      <c r="B47" s="9"/>
      <c r="C47" s="9"/>
      <c r="D47" s="8"/>
      <c r="E47" s="8"/>
      <c r="F47" s="8"/>
      <c r="G47" s="6"/>
      <c r="H47" s="11"/>
    </row>
    <row r="48" spans="2:16" ht="15">
      <c r="B48" s="9"/>
      <c r="C48" s="9"/>
      <c r="D48" s="8"/>
      <c r="E48" s="8"/>
      <c r="F48" s="8"/>
      <c r="G48" s="6"/>
      <c r="H48" s="11"/>
    </row>
    <row r="49" spans="2:8" ht="15">
      <c r="B49" s="9"/>
      <c r="C49" s="9"/>
      <c r="D49" s="8"/>
      <c r="E49" s="8"/>
      <c r="F49" s="8"/>
      <c r="G49" s="6"/>
      <c r="H49" s="11"/>
    </row>
    <row r="50" spans="2:8" ht="15">
      <c r="B50" s="9"/>
      <c r="C50" s="9"/>
      <c r="D50" s="8"/>
      <c r="E50" s="8"/>
      <c r="F50" s="8"/>
      <c r="G50" s="6"/>
      <c r="H50" s="11"/>
    </row>
    <row r="51" spans="2:8" ht="15">
      <c r="B51" s="9"/>
      <c r="C51" s="9"/>
      <c r="D51" s="8"/>
      <c r="E51" s="8"/>
      <c r="F51" s="8"/>
      <c r="G51" s="6"/>
      <c r="H51" s="10"/>
    </row>
    <row r="52" spans="2:8" ht="15">
      <c r="B52" s="9"/>
      <c r="C52" s="9"/>
      <c r="D52" s="8"/>
      <c r="E52" s="8"/>
      <c r="F52" s="8"/>
      <c r="G52" s="6"/>
    </row>
    <row r="53" spans="2:8" ht="15">
      <c r="B53" s="9"/>
      <c r="C53" s="9"/>
      <c r="D53" s="8"/>
      <c r="E53" s="8"/>
      <c r="F53" s="8"/>
      <c r="G53" s="6"/>
    </row>
    <row r="54" spans="2:8" ht="15">
      <c r="B54" s="9"/>
      <c r="C54" s="9"/>
      <c r="D54" s="8"/>
      <c r="E54" s="8"/>
      <c r="F54" s="8"/>
      <c r="G54" s="6"/>
    </row>
    <row r="55" spans="2:8">
      <c r="B55" s="7"/>
      <c r="C55" s="7"/>
      <c r="D55" s="7"/>
      <c r="E55" s="7"/>
      <c r="F55" s="7"/>
      <c r="G55" s="6"/>
    </row>
    <row r="56" spans="2:8" ht="15">
      <c r="B56" s="9"/>
      <c r="C56" s="9"/>
      <c r="D56" s="8"/>
      <c r="E56" s="8"/>
      <c r="F56" s="8"/>
      <c r="G56" s="6"/>
    </row>
    <row r="57" spans="2:8" ht="15">
      <c r="B57" s="9"/>
      <c r="C57" s="9"/>
      <c r="D57" s="8"/>
      <c r="E57" s="8"/>
      <c r="F57" s="8"/>
      <c r="G57" s="6"/>
    </row>
    <row r="58" spans="2:8">
      <c r="B58" s="7"/>
      <c r="C58" s="7"/>
      <c r="D58" s="7"/>
      <c r="E58" s="7"/>
      <c r="F58" s="7"/>
      <c r="G58" s="6"/>
    </row>
    <row r="59" spans="2:8">
      <c r="B59" s="7"/>
      <c r="C59" s="7"/>
      <c r="D59" s="7"/>
      <c r="E59" s="7"/>
      <c r="F59" s="7"/>
      <c r="G59" s="6"/>
    </row>
    <row r="60" spans="2:8">
      <c r="B60" s="5"/>
      <c r="C60" s="5"/>
      <c r="D60" s="5"/>
      <c r="E60" s="5"/>
      <c r="F60" s="5"/>
      <c r="G60" s="4"/>
    </row>
    <row r="61" spans="2:8">
      <c r="B61" s="5"/>
      <c r="C61" s="5"/>
      <c r="D61" s="5"/>
      <c r="E61" s="5"/>
      <c r="F61" s="5"/>
      <c r="G61" s="4"/>
    </row>
    <row r="62" spans="2:8">
      <c r="B62" s="5"/>
      <c r="C62" s="5"/>
      <c r="D62" s="5"/>
      <c r="E62" s="5"/>
      <c r="F62" s="5"/>
      <c r="G62" s="4"/>
    </row>
    <row r="63" spans="2:8">
      <c r="C63" s="5"/>
      <c r="D63" s="5"/>
      <c r="E63" s="5"/>
      <c r="F63" s="5"/>
      <c r="G63" s="4"/>
    </row>
    <row r="64" spans="2:8">
      <c r="C64" s="5"/>
      <c r="D64" s="5"/>
      <c r="E64" s="5"/>
      <c r="F64" s="5"/>
      <c r="G64" s="4"/>
    </row>
    <row r="65" spans="3:7">
      <c r="C65" s="5"/>
      <c r="D65" s="5"/>
      <c r="E65" s="5"/>
      <c r="F65" s="5"/>
      <c r="G65" s="4"/>
    </row>
    <row r="66" spans="3:7">
      <c r="E66" s="5"/>
      <c r="F66" s="5"/>
      <c r="G66" s="4"/>
    </row>
    <row r="67" spans="3:7">
      <c r="E67" s="5"/>
      <c r="F67" s="5"/>
      <c r="G67" s="4"/>
    </row>
    <row r="68" spans="3:7">
      <c r="G68" s="4"/>
    </row>
  </sheetData>
  <mergeCells count="5">
    <mergeCell ref="B2:F2"/>
    <mergeCell ref="B3:F3"/>
    <mergeCell ref="B4:F4"/>
    <mergeCell ref="E5:F5"/>
    <mergeCell ref="E6:F6"/>
  </mergeCells>
  <dataValidations count="1">
    <dataValidation type="list" allowBlank="1" showErrorMessage="1" sqref="F1:F3 F7:F19 F58:F144">
      <formula1>$J$2:$J$6</formula1>
      <formula2>0</formula2>
    </dataValidation>
  </dataValidations>
  <pageMargins left="0.74791666666666667" right="0.25" top="0.75" bottom="0.98402777777777772" header="0.5" footer="0.5"/>
  <pageSetup paperSize="9" orientation="landscape" horizontalDpi="300" verticalDpi="300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workbookViewId="0">
      <selection activeCell="I12" sqref="I12"/>
    </sheetView>
  </sheetViews>
  <sheetFormatPr defaultRowHeight="12.75"/>
  <cols>
    <col min="1" max="1" width="9" style="1"/>
    <col min="2" max="2" width="13.5" style="1" customWidth="1"/>
    <col min="3" max="3" width="19.375" style="1" customWidth="1"/>
    <col min="4" max="7" width="9" style="1"/>
    <col min="8" max="9" width="33.125" style="1" customWidth="1"/>
    <col min="10" max="16384" width="9" style="1"/>
  </cols>
  <sheetData>
    <row r="1" spans="1:8" ht="25.5" customHeight="1">
      <c r="B1" s="72" t="s">
        <v>53</v>
      </c>
      <c r="C1" s="72"/>
      <c r="D1" s="72"/>
      <c r="E1" s="72"/>
      <c r="F1" s="72"/>
      <c r="G1" s="72"/>
      <c r="H1" s="72"/>
    </row>
    <row r="2" spans="1:8" ht="14.25" customHeight="1">
      <c r="A2" s="73"/>
      <c r="B2" s="73"/>
      <c r="C2" s="74"/>
      <c r="D2" s="74"/>
      <c r="E2" s="74"/>
      <c r="F2" s="74"/>
      <c r="G2" s="74"/>
      <c r="H2" s="75"/>
    </row>
    <row r="3" spans="1:8" ht="12" customHeight="1">
      <c r="B3" s="76" t="s">
        <v>54</v>
      </c>
      <c r="C3" s="77" t="s">
        <v>55</v>
      </c>
      <c r="D3" s="77"/>
      <c r="E3" s="78" t="s">
        <v>56</v>
      </c>
      <c r="F3" s="78"/>
      <c r="G3" s="79"/>
      <c r="H3" s="80"/>
    </row>
    <row r="4" spans="1:8" ht="12" customHeight="1">
      <c r="B4" s="76" t="s">
        <v>57</v>
      </c>
      <c r="C4" s="77" t="s">
        <v>58</v>
      </c>
      <c r="D4" s="77"/>
      <c r="E4" s="78" t="s">
        <v>59</v>
      </c>
      <c r="F4" s="78"/>
      <c r="G4" s="79"/>
      <c r="H4" s="80"/>
    </row>
    <row r="5" spans="1:8" ht="12" customHeight="1">
      <c r="B5" s="81" t="s">
        <v>60</v>
      </c>
      <c r="C5" s="77" t="str">
        <f>C4&amp;"_"&amp;"Test Report"&amp;"_"&amp;"vx.x"</f>
        <v>&lt;Project Code&gt;_Test Report_vx.x</v>
      </c>
      <c r="D5" s="77"/>
      <c r="E5" s="78" t="s">
        <v>61</v>
      </c>
      <c r="F5" s="78"/>
      <c r="G5" s="79"/>
      <c r="H5" s="82" t="s">
        <v>62</v>
      </c>
    </row>
    <row r="6" spans="1:8" ht="21.75" customHeight="1">
      <c r="A6" s="73"/>
      <c r="B6" s="81" t="s">
        <v>63</v>
      </c>
      <c r="C6" s="83" t="s">
        <v>64</v>
      </c>
      <c r="D6" s="83"/>
      <c r="E6" s="83"/>
      <c r="F6" s="83"/>
      <c r="G6" s="83"/>
      <c r="H6" s="83"/>
    </row>
    <row r="7" spans="1:8" ht="14.25" customHeight="1">
      <c r="A7" s="73"/>
      <c r="B7" s="84"/>
      <c r="C7" s="85"/>
      <c r="D7" s="74"/>
      <c r="E7" s="74"/>
      <c r="F7" s="74"/>
      <c r="G7" s="74"/>
      <c r="H7" s="75"/>
    </row>
    <row r="8" spans="1:8">
      <c r="B8" s="84"/>
      <c r="C8" s="85"/>
      <c r="D8" s="74"/>
      <c r="E8" s="74"/>
      <c r="F8" s="74"/>
      <c r="G8" s="74"/>
      <c r="H8" s="7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86"/>
      <c r="B10" s="87" t="s">
        <v>65</v>
      </c>
      <c r="C10" s="88" t="s">
        <v>66</v>
      </c>
      <c r="D10" s="89" t="s">
        <v>47</v>
      </c>
      <c r="E10" s="88" t="s">
        <v>46</v>
      </c>
      <c r="F10" s="88" t="s">
        <v>45</v>
      </c>
      <c r="G10" s="90" t="s">
        <v>42</v>
      </c>
      <c r="H10" s="91" t="s">
        <v>67</v>
      </c>
    </row>
    <row r="11" spans="1:8">
      <c r="A11" s="92"/>
      <c r="B11" s="93">
        <v>1</v>
      </c>
      <c r="C11" s="94" t="str">
        <f>'Interface test case'!B2</f>
        <v>Module_Security</v>
      </c>
      <c r="D11" s="95">
        <f>'Interface test case'!A6</f>
        <v>0</v>
      </c>
      <c r="E11" s="95">
        <f>'Interface test case'!B6</f>
        <v>0</v>
      </c>
      <c r="F11" s="95">
        <f>'Interface test case'!C6</f>
        <v>7</v>
      </c>
      <c r="G11" s="95">
        <f>'Interface test case'!D6</f>
        <v>0</v>
      </c>
      <c r="H11" s="95">
        <f>'Interface test case'!E6</f>
        <v>7</v>
      </c>
    </row>
    <row r="12" spans="1:8">
      <c r="A12" s="92"/>
      <c r="B12" s="93"/>
      <c r="C12" s="94"/>
      <c r="D12" s="95"/>
      <c r="E12" s="95"/>
      <c r="F12" s="95"/>
      <c r="G12" s="96"/>
      <c r="H12" s="97"/>
    </row>
    <row r="13" spans="1:8">
      <c r="A13" s="92"/>
      <c r="B13" s="98"/>
      <c r="C13" s="99" t="s">
        <v>68</v>
      </c>
      <c r="D13" s="100">
        <f>SUM(D9:D12)</f>
        <v>0</v>
      </c>
      <c r="E13" s="101">
        <f>SUM(E9:E12)</f>
        <v>0</v>
      </c>
      <c r="F13" s="101">
        <f>SUM(F9:F12)</f>
        <v>7</v>
      </c>
      <c r="G13" s="101">
        <f>SUM(G9:G12)</f>
        <v>0</v>
      </c>
      <c r="H13" s="102">
        <f>SUM(H9:H12)</f>
        <v>7</v>
      </c>
    </row>
    <row r="14" spans="1:8">
      <c r="A14" s="5"/>
      <c r="B14" s="103"/>
      <c r="C14" s="5"/>
      <c r="D14" s="104"/>
      <c r="E14" s="105"/>
      <c r="F14" s="105"/>
      <c r="G14" s="105"/>
      <c r="H14" s="105"/>
    </row>
    <row r="15" spans="1:8">
      <c r="A15" s="5"/>
      <c r="B15" s="5"/>
      <c r="C15" s="106" t="s">
        <v>69</v>
      </c>
      <c r="D15" s="5"/>
      <c r="E15" s="107">
        <f>(D13+E13)*100/(H13-G13)</f>
        <v>0</v>
      </c>
      <c r="F15" s="5" t="s">
        <v>70</v>
      </c>
      <c r="G15" s="5"/>
      <c r="H15" s="51"/>
    </row>
    <row r="16" spans="1:8">
      <c r="A16" s="5"/>
      <c r="B16" s="5"/>
      <c r="C16" s="106" t="s">
        <v>71</v>
      </c>
      <c r="D16" s="5"/>
      <c r="E16" s="107">
        <f>D13*100/(H13-G13)</f>
        <v>0</v>
      </c>
      <c r="F16" s="5" t="s">
        <v>70</v>
      </c>
      <c r="G16" s="5"/>
      <c r="H16" s="51"/>
    </row>
    <row r="17" spans="3:4">
      <c r="C17" s="5"/>
      <c r="D17" s="5"/>
    </row>
  </sheetData>
  <mergeCells count="8">
    <mergeCell ref="C6:H6"/>
    <mergeCell ref="B1:H1"/>
    <mergeCell ref="C3:D3"/>
    <mergeCell ref="E3:F3"/>
    <mergeCell ref="C4:D4"/>
    <mergeCell ref="E4:F4"/>
    <mergeCell ref="C5:D5"/>
    <mergeCell ref="E5:F5"/>
  </mergeCells>
  <pageMargins left="0.74791666666666667" right="0.74791666666666667" top="0.98402777777777772" bottom="0.98402777777777772" header="0.51180555555555562" footer="0.5"/>
  <pageSetup orientation="landscape" horizontalDpi="300" verticalDpi="300"/>
  <headerFooter alignWithMargins="0">
    <oddFooter>&amp;L&amp;"Tahoma,Regular"&amp;8 02ae-BM/PM/HDCV/FSOFT v2/0&amp;C&amp;"tahoma,Regular"&amp;8Internal use&amp;R&amp;"Tahoma,Regular"&amp;8&amp;P/&amp;N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Test case List</vt:lpstr>
      <vt:lpstr>Interface test case</vt:lpstr>
      <vt:lpstr>Test Report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2025-12-19T03:56:45Z</dcterms:created>
  <dcterms:modified xsi:type="dcterms:W3CDTF">2025-12-19T04:28:24Z</dcterms:modified>
</cp:coreProperties>
</file>