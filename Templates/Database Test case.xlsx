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A4B0D311-C714-416A-AF1E-A9219D6DEA4B}" xr6:coauthVersionLast="47" xr6:coauthVersionMax="47" xr10:uidLastSave="{00000000-0000-0000-0000-000000000000}"/>
  <bookViews>
    <workbookView xWindow="-120" yWindow="-120" windowWidth="29040" windowHeight="15720" tabRatio="821" xr2:uid="{54D1C333-A8F3-504F-8D67-28F9DF72E520}"/>
  </bookViews>
  <sheets>
    <sheet name="Cover" sheetId="1" r:id="rId1"/>
    <sheet name="Test case List" sheetId="2" r:id="rId2"/>
    <sheet name="Module1" sheetId="3" r:id="rId3"/>
    <sheet name="Module2" sheetId="9" r:id="rId4"/>
    <sheet name="TestData" sheetId="8" r:id="rId5"/>
    <sheet name="Test Report" sheetId="5" r:id="rId6"/>
  </sheets>
  <definedNames>
    <definedName name="_xlnm._FilterDatabase" localSheetId="2" hidden="1">Module1!$A$8:$I$12</definedName>
    <definedName name="_xlnm._FilterDatabase" localSheetId="3" hidden="1">Module2!$A$8:$I$18</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9" l="1"/>
  <c r="E6" i="3"/>
  <c r="H12" i="5"/>
  <c r="D6" i="9" a="1"/>
  <c r="D6" i="9" s="1"/>
  <c r="G12" i="5" s="1"/>
  <c r="B6" i="9" a="1"/>
  <c r="B6" i="9" s="1"/>
  <c r="E12" i="5" s="1"/>
  <c r="A6" i="9" a="1"/>
  <c r="A6" i="9" s="1"/>
  <c r="D12" i="5" s="1"/>
  <c r="D6" i="3" a="1"/>
  <c r="D6" i="3" s="1"/>
  <c r="B6" i="3" a="1"/>
  <c r="B6" i="3" s="1"/>
  <c r="E11" i="5" s="1"/>
  <c r="B7" i="3" a="1"/>
  <c r="B7" i="3" s="1"/>
  <c r="A6" i="3" a="1"/>
  <c r="A6" i="3" s="1"/>
  <c r="D11" i="5" s="1"/>
  <c r="C6" i="1"/>
  <c r="D3" i="2"/>
  <c r="D4" i="2"/>
  <c r="C5" i="5"/>
  <c r="C11" i="5"/>
  <c r="C6" i="9" l="1"/>
  <c r="F12" i="5" s="1"/>
  <c r="C6" i="3"/>
  <c r="E14" i="5"/>
  <c r="D14" i="5"/>
  <c r="H11" i="5"/>
  <c r="H14" i="5" s="1"/>
  <c r="G11" i="5"/>
  <c r="G14" i="5" l="1"/>
  <c r="E17" i="5" s="1"/>
  <c r="F11" i="5"/>
  <c r="F14" i="5" s="1"/>
  <c r="E1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A2EFF0CB-5607-B541-A684-9B925F100C1E}">
      <text>
        <r>
          <rPr>
            <b/>
            <sz val="10"/>
            <color indexed="8"/>
            <rFont val="Times New Roman"/>
            <family val="1"/>
          </rPr>
          <t>*A</t>
        </r>
        <r>
          <rPr>
            <sz val="10"/>
            <color indexed="8"/>
            <rFont val="Times New Roman"/>
            <family val="1"/>
          </rPr>
          <t xml:space="preserve">: Add
  </t>
        </r>
        <r>
          <rPr>
            <b/>
            <sz val="10"/>
            <color indexed="8"/>
            <rFont val="Times New Roman"/>
            <family val="1"/>
          </rPr>
          <t>M</t>
        </r>
        <r>
          <rPr>
            <sz val="10"/>
            <color indexed="8"/>
            <rFont val="Times New Roman"/>
            <family val="1"/>
          </rPr>
          <t xml:space="preserve">: Modify
  </t>
        </r>
        <r>
          <rPr>
            <b/>
            <sz val="10"/>
            <color indexed="8"/>
            <rFont val="Times New Roman"/>
            <family val="1"/>
          </rPr>
          <t>D</t>
        </r>
        <r>
          <rPr>
            <sz val="10"/>
            <color indexed="8"/>
            <rFont val="Times New Roman"/>
            <family val="1"/>
          </rPr>
          <t xml:space="preserve">: Delete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<sst xmlns="http://schemas.openxmlformats.org/spreadsheetml/2006/main" count="226" uniqueCount="144">
  <si>
    <t>TEST CASE</t>
  </si>
  <si>
    <t>Project Name</t>
  </si>
  <si>
    <t>&lt;Project Name&gt;</t>
  </si>
  <si>
    <t>Creator</t>
  </si>
  <si>
    <t>Project Code</t>
  </si>
  <si>
    <t>&lt;Project Code&gt;</t>
  </si>
  <si>
    <t>Reviewer/Approver</t>
  </si>
  <si>
    <t>Document Code</t>
  </si>
  <si>
    <t>Issue Date</t>
  </si>
  <si>
    <t>Version</t>
  </si>
  <si>
    <t>Record of change</t>
  </si>
  <si>
    <t>Effective Date</t>
  </si>
  <si>
    <t>Change Item</t>
  </si>
  <si>
    <t>*A,D,M</t>
  </si>
  <si>
    <t>Change description</t>
  </si>
  <si>
    <t>Reference</t>
  </si>
  <si>
    <t>&lt;Date when these changes are effective&gt;</t>
  </si>
  <si>
    <t>TEST CASE LIST</t>
  </si>
  <si>
    <t>Test Environment Setup Description</t>
  </si>
  <si>
    <t>&lt;List enviroment requires in this system
1. Server
2. Database
3. Web Browser
...
&gt;</t>
  </si>
  <si>
    <t>No</t>
  </si>
  <si>
    <t>Function Name</t>
  </si>
  <si>
    <t>Sheet Name</t>
  </si>
  <si>
    <t>Description</t>
  </si>
  <si>
    <t>Pre-Condition</t>
  </si>
  <si>
    <t>Module1</t>
  </si>
  <si>
    <t>Module2</t>
  </si>
  <si>
    <t>Module Code</t>
  </si>
  <si>
    <t xml:space="preserve">Module1 </t>
  </si>
  <si>
    <t>Pass</t>
  </si>
  <si>
    <t>Test requirement</t>
  </si>
  <si>
    <t>&lt;Brief description about requirements which are tested in this sheet&gt;</t>
  </si>
  <si>
    <t>Fail</t>
  </si>
  <si>
    <t>Tester</t>
  </si>
  <si>
    <t>Untested</t>
  </si>
  <si>
    <t>N/A</t>
  </si>
  <si>
    <t>Number of Test cases</t>
  </si>
  <si>
    <t>Untesed</t>
  </si>
  <si>
    <t>ID</t>
  </si>
  <si>
    <t>Test Case Description</t>
  </si>
  <si>
    <t>Test Case Procedure</t>
  </si>
  <si>
    <t>Expected Output</t>
  </si>
  <si>
    <t>Result</t>
  </si>
  <si>
    <t>TEST REPORT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</si>
  <si>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</si>
  <si>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</si>
  <si>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</si>
  <si>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</si>
  <si>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</si>
  <si>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</si>
  <si>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</si>
  <si>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</si>
  <si>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</si>
  <si>
    <t>&lt;List of documents which are referred in this version.&gt;</t>
  </si>
  <si>
    <t>Test data</t>
    <phoneticPr fontId="0" type="noConversion"/>
  </si>
  <si>
    <t>Description</t>
    <phoneticPr fontId="0" type="noConversion"/>
  </si>
  <si>
    <t>Test data</t>
  </si>
  <si>
    <t>TestData01</t>
  </si>
  <si>
    <t>TestData02</t>
  </si>
  <si>
    <t>Test Data ID</t>
  </si>
  <si>
    <t>TestData03</t>
  </si>
  <si>
    <t>TestData04</t>
  </si>
  <si>
    <t>TestData05</t>
  </si>
  <si>
    <t>TestData06</t>
  </si>
  <si>
    <t>TestData07</t>
  </si>
  <si>
    <t>TestData08</t>
  </si>
  <si>
    <t>Pre-condition</t>
  </si>
  <si>
    <t>TC_DI_01</t>
  </si>
  <si>
    <t>Data Integrity</t>
  </si>
  <si>
    <t xml:space="preserve">Data Consistency </t>
  </si>
  <si>
    <t>Verify Order ID is stored correctly in database after order creation</t>
  </si>
  <si>
    <t>TC_DI_02</t>
  </si>
  <si>
    <t>Order document exists with correct ObjectId</t>
  </si>
  <si>
    <t>1. System is running normally
2. User is logged in successfully
3. Order creation API/UI is available</t>
  </si>
  <si>
    <t>Verify Customer ID is linked correctly to order</t>
  </si>
  <si>
    <t>1. Customer account exists
2. Order is created successfully</t>
  </si>
  <si>
    <t>customerId matches user ObjectId</t>
  </si>
  <si>
    <t>TC_DI_03</t>
  </si>
  <si>
    <t>Verify ordered items are stored correctly without duplication</t>
  </si>
  <si>
    <t>1. Food items exist in database
2. Order is created</t>
  </si>
  <si>
    <t>TC_DI_04</t>
  </si>
  <si>
    <t>Verify total amount matches calculated value</t>
  </si>
  <si>
    <t>1. Order items stored correctly</t>
  </si>
  <si>
    <t>TC_DC_01</t>
  </si>
  <si>
    <t>Verify updated food information is saved correctly in database</t>
  </si>
  <si>
    <t>1. Admin account exists
2. Food item exists</t>
  </si>
  <si>
    <t>Food document reflects updated information</t>
  </si>
  <si>
    <t>TC_DI_05</t>
  </si>
  <si>
    <t>TC_DC_02</t>
  </si>
  <si>
    <t>TC_DC_03</t>
  </si>
  <si>
    <t>Verify UI data matches database data after update</t>
  </si>
  <si>
    <t>1. Food update completed successfully</t>
  </si>
  <si>
    <t>UI data matches database data</t>
  </si>
  <si>
    <t>1. Login as admin.
2. Navigate to Food List page.
3. Update food information and save changes.
4. View updated food data on UI.
5. Query foods collection in database.
6. Compare UI data with database data.</t>
  </si>
  <si>
    <t>Test Case ID</t>
  </si>
  <si>
    <t>Data Details</t>
  </si>
  <si>
    <t>Order ID generated after order creation</t>
  </si>
  <si>
    <t>Customer ID linked to order</t>
  </si>
  <si>
    <t>Multiple food items in order without duplication</t>
  </si>
  <si>
    <t>Total amount calculated from order items</t>
  </si>
  <si>
    <t>Valid quantity and price values</t>
  </si>
  <si>
    <t>Food information after update</t>
  </si>
  <si>
    <t>UI and DB data after update</t>
  </si>
  <si>
    <t>Data fields verify: [Name, Price, Description]</t>
  </si>
  <si>
    <t>TestData</t>
  </si>
  <si>
    <t>Price &gt; 0</t>
  </si>
  <si>
    <t>1. Food items exist in database</t>
  </si>
  <si>
    <t>Verify that the price of food items is stored with valid non-negative values.</t>
  </si>
  <si>
    <t>Price is invalid value (&lt;0)</t>
  </si>
  <si>
    <t>quantity = 1 (&gt;0)</t>
  </si>
  <si>
    <t>Web does not support update food item</t>
  </si>
  <si>
    <t>Verify added food name, price, and description are consistent across Menu and Home page</t>
  </si>
  <si>
    <t>Verify deleted food name, price, and description are consistent across Menu and Home page</t>
  </si>
  <si>
    <t>TC_DC_04</t>
  </si>
  <si>
    <t>1. Food linked to menu
2. Food item exist</t>
  </si>
  <si>
    <t xml:space="preserve">1. Food linked to menu
</t>
  </si>
  <si>
    <t>Menu shows new food information</t>
  </si>
  <si>
    <t>Food item was deleted is not exist in Menu</t>
  </si>
  <si>
    <t>TC_DC_05</t>
  </si>
  <si>
    <t>Verify that search queries return correct food items from the database matches the keyword input</t>
  </si>
  <si>
    <t>1. Login as admin.
2. Navigate to Menu.
3. Search food item with a keyword
4. View result</t>
  </si>
  <si>
    <t xml:space="preserve">List food item matches keyword input </t>
  </si>
  <si>
    <t>TestData09</t>
  </si>
  <si>
    <t>Web does not support search food item</t>
  </si>
  <si>
    <t>TestData10</t>
  </si>
  <si>
    <t>Food information after adding</t>
  </si>
  <si>
    <t>Menu after deleting some foods</t>
  </si>
  <si>
    <t>List food after search keyword input</t>
  </si>
  <si>
    <t>1. Login as customer
2. Navigate to Menu page
3. Add food to cart
4. Place order successfully
5. Connect to database
6. Query orders collection using Order ID</t>
  </si>
  <si>
    <t>1. Login as customer
2. Navigate to Menu page
3. Add food to cart
4. Place order successfully
5. Query orders collection using customer ID
6. Check customerId field</t>
  </si>
  <si>
    <t>1. Login as customer
2. Navigate to Menu page
3. Create order with multiple items
4. Query orders collection
5. Inspect items array</t>
  </si>
  <si>
    <t>1. Login as customer
2. Navigate to Menu page
3. Create order with multiple items
4. Retrieve order document
5. Calculate total manually
6. Compare with total field</t>
  </si>
  <si>
    <t>total equals calculated value</t>
  </si>
  <si>
    <t>No duplicated Id, valid quantity and price</t>
  </si>
  <si>
    <t>1. Login as customer
2. Create an order with food items
3. Place order successfully
4. Connect to database
5. Query Food collection
6. Inspect price</t>
  </si>
  <si>
    <t>1. Login as admin.
2. Navigate to Food List page.
3. Update food information and save changes.
4. Query foods collection using Food ID.
5. Verify updated food data.</t>
  </si>
  <si>
    <t>1. Login as admin.
2. Navigate to Food List page.
3. Adding food information and save changes.
4. Query menus collection.
5. Verify updated food information in menu data.</t>
  </si>
  <si>
    <t>1. Login as admin.
2. Navigate to Food List page.
3. Delete food item and save changes.
4. Query menus collection.
5. Verify food information in menu data.</t>
  </si>
  <si>
    <t>Cake</t>
  </si>
  <si>
    <t>Name: Con Ngua; Price: 99</t>
  </si>
  <si>
    <t>Order ID: ObjectId ('694264de07bd2dc831baf22b')</t>
  </si>
  <si>
    <t>User ID: ObjectId('6940ba43fa88c9df0c7d50fa'), Order.UserId = '6940ba43fa88c9df0c7d50fa'</t>
  </si>
  <si>
    <t>FOOD_01 (price 99, qty 2); FOOD_02 (price: 20, qty: 1)</t>
  </si>
  <si>
    <t>Expected totalAmount =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</si>
</sst>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m\-yy;@"/>
  </numFmts>
  <fonts count="28" x14ac:knownFonts="1">
    <font>
      <sz val="11"/>
      <name val="ＭＳ Ｐゴシック"/>
      <family val="3"/>
      <charset val="128"/>
    </font>
    <font>
      <sz val="10"/>
      <name val="Arial"/>
      <family val="2"/>
    </font>
    <font>
      <sz val="9"/>
      <name val="ＭＳ ゴシック"/>
      <family val="3"/>
      <charset val="128"/>
    </font>
    <font>
      <sz val="10"/>
      <name val="Tahoma"/>
      <family val="2"/>
    </font>
    <font>
      <b/>
      <sz val="22"/>
      <color indexed="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imes New Roman"/>
      <family val="1"/>
    </font>
    <font>
      <sz val="10"/>
      <color indexed="8"/>
      <name val="Times New Roman"/>
      <family val="1"/>
    </font>
    <font>
      <b/>
      <sz val="10"/>
      <color indexed="8"/>
      <name val="Tahoma"/>
      <family val="2"/>
    </font>
    <font>
      <b/>
      <sz val="10"/>
      <color indexed="10"/>
      <name val="Tahoma"/>
      <family val="2"/>
    </font>
    <font>
      <b/>
      <sz val="10"/>
      <name val="Tahoma"/>
      <family val="2"/>
    </font>
    <font>
      <u/>
      <sz val="10"/>
      <color indexed="12"/>
      <name val="Tahoma"/>
      <family val="2"/>
    </font>
    <font>
      <u/>
      <sz val="11"/>
      <color indexed="12"/>
      <name val="ＭＳ Ｐゴシック"/>
      <family val="3"/>
      <charset val="128"/>
    </font>
    <font>
      <sz val="10"/>
      <color indexed="10"/>
      <name val="Tahoma"/>
      <family val="2"/>
    </font>
    <font>
      <sz val="10"/>
      <color indexed="8"/>
      <name val="Tahoma"/>
      <family val="2"/>
    </font>
    <font>
      <sz val="10"/>
      <color indexed="9"/>
      <name val="Tahoma"/>
      <family val="2"/>
    </font>
    <font>
      <b/>
      <sz val="10"/>
      <color indexed="12"/>
      <name val="Tahoma"/>
      <family val="2"/>
    </font>
    <font>
      <sz val="11"/>
      <name val="ＭＳ Ｐゴシック"/>
      <family val="3"/>
      <charset val="128"/>
    </font>
    <font>
      <sz val="16"/>
      <name val="Times New Roman"/>
      <family val="1"/>
    </font>
    <font>
      <sz val="8"/>
      <name val="ＭＳ Ｐゴシック"/>
      <family val="3"/>
      <charset val="128"/>
    </font>
    <font>
      <sz val="12"/>
      <name val="Times New Roman"/>
      <family val="1"/>
    </font>
    <font>
      <sz val="11"/>
      <name val="Arial"/>
      <family val="2"/>
    </font>
    <font>
      <u/>
      <sz val="11"/>
      <color indexed="12"/>
      <name val="Arial"/>
      <family val="2"/>
    </font>
    <font>
      <sz val="10"/>
      <color indexed="8"/>
      <name val="Arial"/>
      <family val="2"/>
    </font>
  </fonts>
  <fills count="6">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theme="7" tint="0.79998168889431442"/>
        <bgColor indexed="64"/>
      </patternFill>
    </fill>
  </fills>
  <borders count="45">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right/>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64"/>
      </left>
      <right style="thin">
        <color indexed="64"/>
      </right>
      <top style="thin">
        <color indexed="64"/>
      </top>
      <bottom style="thin">
        <color indexed="64"/>
      </bottom>
      <diagonal/>
    </border>
    <border>
      <left/>
      <right style="medium">
        <color indexed="8"/>
      </right>
      <top style="thin">
        <color indexed="8"/>
      </top>
      <bottom style="thin">
        <color indexed="8"/>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16" fillId="0" borderId="0" applyNumberFormat="0" applyFill="0" applyBorder="0" applyAlignment="0" applyProtection="0"/>
    <xf numFmtId="0" fontId="21" fillId="0" borderId="0"/>
    <xf numFmtId="0" fontId="21" fillId="0" borderId="0"/>
    <xf numFmtId="0" fontId="2" fillId="0" borderId="0"/>
  </cellStyleXfs>
  <cellXfs count="174">
    <xf numFmtId="0" fontId="0" fillId="0" borderId="0" xfId="0"/>
    <xf numFmtId="0" fontId="3" fillId="0" borderId="0" xfId="0" applyFont="1"/>
    <xf numFmtId="0" fontId="3" fillId="0" borderId="0" xfId="0" applyFont="1" applyAlignment="1">
      <alignment horizontal="left" indent="1"/>
    </xf>
    <xf numFmtId="0" fontId="4" fillId="2" borderId="0" xfId="0" applyFont="1" applyFill="1" applyAlignment="1">
      <alignment horizontal="center" vertical="center"/>
    </xf>
    <xf numFmtId="0" fontId="5" fillId="0" borderId="1" xfId="0" applyFont="1" applyBorder="1" applyAlignment="1">
      <alignment horizontal="center" vertical="center"/>
    </xf>
    <xf numFmtId="0" fontId="3" fillId="0" borderId="0" xfId="0" applyFont="1" applyAlignment="1">
      <alignment horizontal="center" vertical="center"/>
    </xf>
    <xf numFmtId="0" fontId="7" fillId="2" borderId="0" xfId="0" applyFont="1" applyFill="1" applyAlignment="1">
      <alignment horizontal="left" indent="1"/>
    </xf>
    <xf numFmtId="0" fontId="8" fillId="0" borderId="0" xfId="0" applyFont="1" applyAlignment="1">
      <alignment horizontal="left" indent="1"/>
    </xf>
    <xf numFmtId="0" fontId="3" fillId="2" borderId="0" xfId="0" applyFont="1" applyFill="1"/>
    <xf numFmtId="0" fontId="7" fillId="2" borderId="2" xfId="0" applyFont="1" applyFill="1" applyBorder="1" applyAlignment="1">
      <alignment horizontal="left"/>
    </xf>
    <xf numFmtId="0" fontId="3" fillId="0" borderId="3" xfId="0" applyFont="1" applyBorder="1"/>
    <xf numFmtId="0" fontId="7" fillId="2" borderId="2" xfId="0" applyFont="1" applyFill="1" applyBorder="1" applyAlignment="1">
      <alignment horizontal="left" vertical="center"/>
    </xf>
    <xf numFmtId="0" fontId="8" fillId="0" borderId="3" xfId="0" applyFont="1" applyBorder="1" applyAlignment="1">
      <alignment horizontal="left" indent="1"/>
    </xf>
    <xf numFmtId="0" fontId="7" fillId="2" borderId="0" xfId="0" applyFont="1" applyFill="1"/>
    <xf numFmtId="0" fontId="8" fillId="0" borderId="0" xfId="0" applyFont="1" applyAlignment="1">
      <alignment horizontal="left"/>
    </xf>
    <xf numFmtId="0" fontId="7" fillId="0" borderId="0" xfId="0" applyFont="1" applyAlignment="1">
      <alignment horizontal="left"/>
    </xf>
    <xf numFmtId="0" fontId="3" fillId="0" borderId="0" xfId="0" applyFont="1" applyAlignment="1">
      <alignment vertical="center"/>
    </xf>
    <xf numFmtId="164" fontId="9" fillId="3" borderId="4" xfId="0" applyNumberFormat="1"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3" fillId="0" borderId="0" xfId="0" applyFont="1" applyAlignment="1">
      <alignment vertical="top"/>
    </xf>
    <xf numFmtId="0" fontId="8" fillId="0" borderId="7" xfId="0" applyFont="1" applyBorder="1" applyAlignment="1">
      <alignment vertical="top" wrapText="1"/>
    </xf>
    <xf numFmtId="49" fontId="3" fillId="0" borderId="8" xfId="0" applyNumberFormat="1" applyFont="1" applyBorder="1" applyAlignment="1">
      <alignment vertical="top"/>
    </xf>
    <xf numFmtId="0" fontId="3" fillId="0" borderId="8" xfId="0" applyFont="1" applyBorder="1" applyAlignment="1">
      <alignment vertical="top"/>
    </xf>
    <xf numFmtId="15" fontId="3" fillId="0" borderId="8" xfId="0" applyNumberFormat="1" applyFont="1" applyBorder="1" applyAlignment="1">
      <alignment vertical="top"/>
    </xf>
    <xf numFmtId="0" fontId="8" fillId="0" borderId="9" xfId="0" applyFont="1" applyBorder="1" applyAlignment="1">
      <alignment vertical="top" wrapText="1"/>
    </xf>
    <xf numFmtId="164" fontId="3" fillId="0" borderId="7" xfId="0" applyNumberFormat="1" applyFont="1" applyBorder="1" applyAlignment="1">
      <alignment vertical="top"/>
    </xf>
    <xf numFmtId="0" fontId="3" fillId="0" borderId="9" xfId="0" applyFont="1" applyBorder="1" applyAlignment="1">
      <alignment vertical="top"/>
    </xf>
    <xf numFmtId="164" fontId="3" fillId="0" borderId="10" xfId="0" applyNumberFormat="1" applyFont="1" applyBorder="1" applyAlignment="1">
      <alignment vertical="top"/>
    </xf>
    <xf numFmtId="49" fontId="3" fillId="0" borderId="11" xfId="0" applyNumberFormat="1" applyFon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1" fontId="3" fillId="2" borderId="0" xfId="0" applyNumberFormat="1" applyFont="1" applyFill="1"/>
    <xf numFmtId="0" fontId="3" fillId="2" borderId="0" xfId="0" applyFont="1" applyFill="1" applyAlignment="1">
      <alignment horizontal="left"/>
    </xf>
    <xf numFmtId="1" fontId="3" fillId="2" borderId="0" xfId="0" applyNumberFormat="1" applyFont="1" applyFill="1" applyProtection="1">
      <protection hidden="1"/>
    </xf>
    <xf numFmtId="0" fontId="6" fillId="2" borderId="0" xfId="0" applyFont="1" applyFill="1" applyAlignment="1">
      <alignment horizontal="left"/>
    </xf>
    <xf numFmtId="0" fontId="12" fillId="2" borderId="0" xfId="0" applyFont="1" applyFill="1" applyAlignment="1">
      <alignment horizontal="left"/>
    </xf>
    <xf numFmtId="0" fontId="13" fillId="2" borderId="0" xfId="0" applyFont="1" applyFill="1" applyAlignment="1">
      <alignment horizontal="left"/>
    </xf>
    <xf numFmtId="0" fontId="3" fillId="2" borderId="0" xfId="0" applyFont="1" applyFill="1" applyAlignment="1">
      <alignment wrapText="1"/>
    </xf>
    <xf numFmtId="1" fontId="7" fillId="2" borderId="0" xfId="0" applyNumberFormat="1" applyFont="1" applyFill="1"/>
    <xf numFmtId="0" fontId="3" fillId="2" borderId="0" xfId="0" applyFont="1" applyFill="1" applyAlignment="1">
      <alignment vertical="center"/>
    </xf>
    <xf numFmtId="1" fontId="3" fillId="2" borderId="0" xfId="0" applyNumberFormat="1" applyFont="1" applyFill="1" applyAlignment="1" applyProtection="1">
      <alignment vertical="center"/>
      <protection hidden="1"/>
    </xf>
    <xf numFmtId="0" fontId="3" fillId="2" borderId="0" xfId="0" applyFont="1" applyFill="1" applyAlignment="1">
      <alignment horizontal="left" vertical="center"/>
    </xf>
    <xf numFmtId="0" fontId="14" fillId="2" borderId="0" xfId="0" applyFont="1" applyFill="1" applyAlignment="1">
      <alignment horizontal="center"/>
    </xf>
    <xf numFmtId="1" fontId="9" fillId="4" borderId="4" xfId="0" applyNumberFormat="1" applyFont="1" applyFill="1" applyBorder="1" applyAlignment="1">
      <alignment horizontal="center" vertical="center"/>
    </xf>
    <xf numFmtId="0" fontId="9" fillId="4" borderId="5" xfId="0" applyFont="1" applyFill="1" applyBorder="1" applyAlignment="1">
      <alignment horizontal="center" vertical="center"/>
    </xf>
    <xf numFmtId="0" fontId="9" fillId="4" borderId="13" xfId="0" applyFont="1" applyFill="1" applyBorder="1" applyAlignment="1">
      <alignment horizontal="center" vertical="center"/>
    </xf>
    <xf numFmtId="0" fontId="9" fillId="4" borderId="6" xfId="0" applyFont="1" applyFill="1" applyBorder="1" applyAlignment="1">
      <alignment horizontal="center" vertical="center"/>
    </xf>
    <xf numFmtId="1" fontId="3" fillId="2" borderId="7" xfId="0" applyNumberFormat="1" applyFont="1" applyFill="1" applyBorder="1" applyAlignment="1">
      <alignment vertical="center"/>
    </xf>
    <xf numFmtId="49" fontId="3" fillId="2" borderId="8" xfId="0" applyNumberFormat="1" applyFont="1" applyFill="1" applyBorder="1" applyAlignment="1">
      <alignment horizontal="left" vertical="center"/>
    </xf>
    <xf numFmtId="0" fontId="15" fillId="2" borderId="8" xfId="1" applyNumberFormat="1" applyFont="1" applyFill="1" applyBorder="1" applyAlignment="1" applyProtection="1">
      <alignment horizontal="left" vertical="center"/>
    </xf>
    <xf numFmtId="0" fontId="3" fillId="2" borderId="9" xfId="0" applyFont="1" applyFill="1" applyBorder="1" applyAlignment="1">
      <alignment horizontal="left" vertical="center"/>
    </xf>
    <xf numFmtId="0" fontId="3" fillId="2" borderId="8" xfId="0" applyFont="1" applyFill="1" applyBorder="1" applyAlignment="1">
      <alignment horizontal="left" vertical="center"/>
    </xf>
    <xf numFmtId="1" fontId="3" fillId="2" borderId="10" xfId="0" applyNumberFormat="1" applyFont="1" applyFill="1" applyBorder="1" applyAlignment="1">
      <alignment vertical="center"/>
    </xf>
    <xf numFmtId="49" fontId="3" fillId="2" borderId="11" xfId="0" applyNumberFormat="1"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17" fillId="2" borderId="0" xfId="0" applyFont="1" applyFill="1"/>
    <xf numFmtId="0" fontId="18" fillId="2" borderId="14" xfId="0" applyFont="1" applyFill="1" applyBorder="1"/>
    <xf numFmtId="0" fontId="18" fillId="2" borderId="14" xfId="0" applyFont="1" applyFill="1" applyBorder="1" applyAlignment="1">
      <alignment wrapText="1"/>
    </xf>
    <xf numFmtId="0" fontId="3" fillId="2" borderId="14" xfId="0" applyFont="1" applyFill="1" applyBorder="1" applyAlignment="1">
      <alignment wrapText="1"/>
    </xf>
    <xf numFmtId="0" fontId="14" fillId="2" borderId="0" xfId="0" applyFont="1" applyFill="1" applyAlignment="1">
      <alignment wrapText="1"/>
    </xf>
    <xf numFmtId="0" fontId="17" fillId="2" borderId="0" xfId="0" applyFont="1" applyFill="1" applyAlignment="1">
      <alignment wrapText="1"/>
    </xf>
    <xf numFmtId="0" fontId="18" fillId="2" borderId="0" xfId="0" applyFont="1" applyFill="1"/>
    <xf numFmtId="0" fontId="14" fillId="2" borderId="15" xfId="3" applyFont="1" applyFill="1" applyBorder="1" applyAlignment="1">
      <alignment horizontal="left" wrapText="1"/>
    </xf>
    <xf numFmtId="0" fontId="14" fillId="2" borderId="16" xfId="3" applyFont="1" applyFill="1" applyBorder="1" applyAlignment="1">
      <alignment horizontal="left" wrapText="1"/>
    </xf>
    <xf numFmtId="0" fontId="12" fillId="2" borderId="0" xfId="0" applyFont="1" applyFill="1"/>
    <xf numFmtId="0" fontId="12" fillId="2" borderId="16"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3" fillId="2" borderId="0" xfId="0" applyFont="1" applyFill="1" applyAlignment="1">
      <alignment horizontal="center" wrapText="1"/>
    </xf>
    <xf numFmtId="0" fontId="17" fillId="2" borderId="0" xfId="0" applyFont="1" applyFill="1" applyAlignment="1">
      <alignment horizontal="center" wrapText="1"/>
    </xf>
    <xf numFmtId="0" fontId="18" fillId="2" borderId="17" xfId="0" applyFont="1" applyFill="1" applyBorder="1" applyAlignment="1">
      <alignment horizontal="center" vertical="center"/>
    </xf>
    <xf numFmtId="0" fontId="18" fillId="2" borderId="18" xfId="0" applyFont="1" applyFill="1" applyBorder="1" applyAlignment="1">
      <alignment horizontal="center" vertical="center"/>
    </xf>
    <xf numFmtId="0" fontId="18" fillId="2" borderId="19" xfId="0" applyFont="1" applyFill="1" applyBorder="1" applyAlignment="1">
      <alignment horizontal="center" vertical="center"/>
    </xf>
    <xf numFmtId="0" fontId="18" fillId="2" borderId="0" xfId="0" applyFont="1" applyFill="1" applyAlignment="1">
      <alignment horizontal="center" wrapText="1"/>
    </xf>
    <xf numFmtId="0" fontId="13" fillId="2" borderId="0" xfId="3" applyFont="1" applyFill="1" applyAlignment="1">
      <alignment horizontal="center" vertical="center" wrapText="1"/>
    </xf>
    <xf numFmtId="0" fontId="17" fillId="2" borderId="0" xfId="0" applyFont="1" applyFill="1" applyAlignment="1">
      <alignment vertical="top" wrapText="1"/>
    </xf>
    <xf numFmtId="0" fontId="18" fillId="2" borderId="0" xfId="0" applyFont="1" applyFill="1" applyAlignment="1">
      <alignment vertical="top"/>
    </xf>
    <xf numFmtId="0" fontId="14" fillId="2" borderId="0" xfId="2" applyFont="1" applyFill="1"/>
    <xf numFmtId="0" fontId="3" fillId="2" borderId="0" xfId="2" applyFont="1" applyFill="1"/>
    <xf numFmtId="164" fontId="3" fillId="2" borderId="0" xfId="2" applyNumberFormat="1" applyFont="1" applyFill="1"/>
    <xf numFmtId="0" fontId="7" fillId="2" borderId="3" xfId="0" applyFont="1" applyFill="1" applyBorder="1" applyAlignment="1">
      <alignment horizontal="left"/>
    </xf>
    <xf numFmtId="0" fontId="3" fillId="2" borderId="3" xfId="0" applyFont="1" applyFill="1" applyBorder="1" applyAlignment="1">
      <alignment vertical="top"/>
    </xf>
    <xf numFmtId="0" fontId="7" fillId="2" borderId="2" xfId="0" applyFont="1" applyFill="1" applyBorder="1" applyAlignment="1">
      <alignment vertical="center"/>
    </xf>
    <xf numFmtId="0" fontId="8" fillId="2" borderId="3" xfId="0" applyFont="1" applyFill="1" applyBorder="1" applyAlignment="1">
      <alignment vertical="top"/>
    </xf>
    <xf numFmtId="0" fontId="8" fillId="2" borderId="0" xfId="2" applyFont="1" applyFill="1"/>
    <xf numFmtId="0" fontId="3" fillId="2" borderId="21" xfId="0" applyFont="1" applyFill="1" applyBorder="1"/>
    <xf numFmtId="0" fontId="9" fillId="3" borderId="22" xfId="0" applyFont="1" applyFill="1" applyBorder="1" applyAlignment="1">
      <alignment horizontal="center"/>
    </xf>
    <xf numFmtId="0" fontId="9" fillId="3" borderId="5" xfId="0" applyFont="1" applyFill="1" applyBorder="1" applyAlignment="1">
      <alignment horizontal="center"/>
    </xf>
    <xf numFmtId="0" fontId="9" fillId="3" borderId="5" xfId="0" applyFont="1" applyFill="1" applyBorder="1" applyAlignment="1">
      <alignment horizontal="center" wrapText="1"/>
    </xf>
    <xf numFmtId="0" fontId="9" fillId="3" borderId="13" xfId="0" applyFont="1" applyFill="1" applyBorder="1" applyAlignment="1">
      <alignment horizontal="center"/>
    </xf>
    <xf numFmtId="0" fontId="9" fillId="3" borderId="23" xfId="0" applyFont="1" applyFill="1" applyBorder="1" applyAlignment="1">
      <alignment horizontal="center" wrapText="1"/>
    </xf>
    <xf numFmtId="0" fontId="3" fillId="2" borderId="24" xfId="0" applyFont="1" applyFill="1" applyBorder="1" applyAlignment="1">
      <alignment horizontal="center"/>
    </xf>
    <xf numFmtId="0" fontId="3" fillId="2" borderId="8" xfId="0" applyFont="1" applyFill="1" applyBorder="1"/>
    <xf numFmtId="0" fontId="3" fillId="2" borderId="8" xfId="0" applyFont="1" applyFill="1" applyBorder="1" applyAlignment="1">
      <alignment horizontal="center"/>
    </xf>
    <xf numFmtId="0" fontId="3" fillId="2" borderId="25" xfId="0" applyFont="1" applyFill="1" applyBorder="1" applyAlignment="1">
      <alignment horizontal="center"/>
    </xf>
    <xf numFmtId="0" fontId="3" fillId="2" borderId="26" xfId="0" applyFont="1" applyFill="1" applyBorder="1" applyAlignment="1">
      <alignment horizontal="center"/>
    </xf>
    <xf numFmtId="0" fontId="19" fillId="3" borderId="27" xfId="0" applyFont="1" applyFill="1" applyBorder="1" applyAlignment="1">
      <alignment horizontal="center"/>
    </xf>
    <xf numFmtId="0" fontId="9" fillId="3" borderId="11" xfId="0" applyFont="1" applyFill="1" applyBorder="1"/>
    <xf numFmtId="0" fontId="19" fillId="3" borderId="11" xfId="0" applyFont="1" applyFill="1" applyBorder="1" applyAlignment="1">
      <alignment horizontal="center"/>
    </xf>
    <xf numFmtId="0" fontId="19" fillId="3" borderId="28" xfId="0" applyFont="1" applyFill="1" applyBorder="1" applyAlignment="1">
      <alignment horizontal="center"/>
    </xf>
    <xf numFmtId="0" fontId="3" fillId="2" borderId="0" xfId="0" applyFont="1" applyFill="1" applyAlignment="1">
      <alignment horizontal="center"/>
    </xf>
    <xf numFmtId="10" fontId="3" fillId="2" borderId="0" xfId="0" applyNumberFormat="1" applyFont="1" applyFill="1" applyAlignment="1">
      <alignment horizontal="center"/>
    </xf>
    <xf numFmtId="9" fontId="3" fillId="2" borderId="0" xfId="0" applyNumberFormat="1" applyFont="1" applyFill="1" applyAlignment="1">
      <alignment horizontal="center"/>
    </xf>
    <xf numFmtId="0" fontId="7" fillId="2" borderId="0" xfId="0" applyFont="1" applyFill="1" applyAlignment="1">
      <alignment horizontal="left"/>
    </xf>
    <xf numFmtId="2" fontId="20" fillId="2" borderId="0" xfId="0" applyNumberFormat="1" applyFont="1" applyFill="1" applyAlignment="1">
      <alignment horizontal="right" wrapText="1"/>
    </xf>
    <xf numFmtId="0" fontId="16" fillId="2" borderId="8" xfId="1" applyNumberFormat="1" applyFill="1" applyBorder="1" applyAlignment="1" applyProtection="1">
      <alignment horizontal="left" vertical="center"/>
      <extLst>
        <ext xmlns:xfpb="http://schemas.microsoft.com/office/spreadsheetml/2022/featurepropertybag" uri="{C7286773-470A-42A8-94C5-96B5CB345126}">
          <xfpb:xfComplement i="0"/>
        </ext>
      </extLst>
    </xf>
    <xf numFmtId="0" fontId="16" fillId="2" borderId="8" xfId="1" applyNumberFormat="1" applyFill="1" applyBorder="1" applyAlignment="1" applyProtection="1">
      <alignment horizontal="left" vertical="center"/>
    </xf>
    <xf numFmtId="0" fontId="1" fillId="2" borderId="29" xfId="0" applyFont="1" applyFill="1" applyBorder="1" applyAlignment="1">
      <alignment horizontal="center" vertical="center" wrapText="1"/>
    </xf>
    <xf numFmtId="0" fontId="9" fillId="3" borderId="29" xfId="3" applyFont="1" applyFill="1" applyBorder="1" applyAlignment="1">
      <alignment horizontal="center" vertical="center" wrapText="1"/>
    </xf>
    <xf numFmtId="0" fontId="1" fillId="2" borderId="29" xfId="0" applyFont="1" applyFill="1" applyBorder="1" applyAlignment="1">
      <alignment vertical="center" wrapText="1"/>
    </xf>
    <xf numFmtId="0" fontId="0" fillId="0" borderId="0" xfId="0" applyAlignment="1">
      <alignment wrapText="1"/>
    </xf>
    <xf numFmtId="0" fontId="24" fillId="0" borderId="0" xfId="0" applyFont="1"/>
    <xf numFmtId="0" fontId="22" fillId="0" borderId="0" xfId="0" applyFont="1"/>
    <xf numFmtId="0" fontId="22" fillId="5" borderId="29" xfId="0" applyFont="1" applyFill="1" applyBorder="1" applyAlignment="1">
      <alignment horizontal="center" vertical="center"/>
    </xf>
    <xf numFmtId="0" fontId="22" fillId="5" borderId="29" xfId="0" applyFont="1" applyFill="1" applyBorder="1" applyAlignment="1">
      <alignment horizontal="left" vertical="center" wrapText="1"/>
    </xf>
    <xf numFmtId="0" fontId="22" fillId="5" borderId="29" xfId="0" applyFont="1" applyFill="1" applyBorder="1" applyAlignment="1">
      <alignment horizontal="left" vertical="center"/>
    </xf>
    <xf numFmtId="0" fontId="22" fillId="0" borderId="29" xfId="0" applyFont="1" applyBorder="1" applyAlignment="1">
      <alignment horizontal="center" vertical="center"/>
    </xf>
    <xf numFmtId="0" fontId="22" fillId="0" borderId="29" xfId="0" applyFont="1" applyBorder="1" applyAlignment="1">
      <alignment horizontal="left" vertical="center" wrapText="1"/>
    </xf>
    <xf numFmtId="0" fontId="22" fillId="0" borderId="29" xfId="0" applyFont="1" applyBorder="1" applyAlignment="1">
      <alignment horizontal="left" vertical="center"/>
    </xf>
    <xf numFmtId="0" fontId="1" fillId="2" borderId="36" xfId="0" applyFont="1" applyFill="1" applyBorder="1" applyAlignment="1">
      <alignment vertical="center" wrapText="1"/>
    </xf>
    <xf numFmtId="0" fontId="22" fillId="0" borderId="29" xfId="0" applyFont="1" applyBorder="1"/>
    <xf numFmtId="0" fontId="6" fillId="0" borderId="2" xfId="0" applyFont="1" applyBorder="1" applyAlignment="1">
      <alignment horizontal="center" vertical="center"/>
    </xf>
    <xf numFmtId="0" fontId="8" fillId="0" borderId="2" xfId="0" applyFont="1" applyBorder="1" applyAlignment="1">
      <alignment horizontal="left"/>
    </xf>
    <xf numFmtId="0" fontId="7" fillId="2" borderId="2" xfId="0" applyFont="1" applyFill="1" applyBorder="1" applyAlignment="1">
      <alignment horizontal="left" vertical="center"/>
    </xf>
    <xf numFmtId="0" fontId="8" fillId="0" borderId="2" xfId="0" applyFont="1" applyBorder="1" applyAlignment="1">
      <alignment horizontal="left" vertical="center"/>
    </xf>
    <xf numFmtId="1" fontId="7" fillId="2" borderId="2" xfId="0" applyNumberFormat="1" applyFont="1" applyFill="1" applyBorder="1" applyAlignment="1">
      <alignment vertical="center" wrapText="1"/>
    </xf>
    <xf numFmtId="0" fontId="8" fillId="2" borderId="2" xfId="0" applyFont="1" applyFill="1" applyBorder="1" applyAlignment="1">
      <alignment vertical="top" wrapText="1"/>
    </xf>
    <xf numFmtId="1" fontId="7" fillId="2" borderId="1" xfId="0" applyNumberFormat="1" applyFont="1" applyFill="1" applyBorder="1"/>
    <xf numFmtId="0" fontId="8" fillId="2" borderId="2" xfId="0" applyFont="1" applyFill="1" applyBorder="1" applyAlignment="1">
      <alignment horizontal="left"/>
    </xf>
    <xf numFmtId="0" fontId="18" fillId="2" borderId="31" xfId="0" applyFont="1" applyFill="1" applyBorder="1" applyAlignment="1">
      <alignment horizontal="center" vertical="center" wrapText="1"/>
    </xf>
    <xf numFmtId="0" fontId="18" fillId="2" borderId="32" xfId="0" applyFont="1" applyFill="1" applyBorder="1" applyAlignment="1">
      <alignment horizontal="center" vertical="center" wrapText="1"/>
    </xf>
    <xf numFmtId="0" fontId="8" fillId="2" borderId="33" xfId="3" applyFont="1" applyFill="1" applyBorder="1" applyAlignment="1">
      <alignment horizontal="left" wrapText="1"/>
    </xf>
    <xf numFmtId="0" fontId="8" fillId="2" borderId="34" xfId="3" applyFont="1" applyFill="1" applyBorder="1" applyAlignment="1">
      <alignment horizontal="left" wrapText="1"/>
    </xf>
    <xf numFmtId="0" fontId="8" fillId="2" borderId="35" xfId="3" applyFont="1" applyFill="1" applyBorder="1" applyAlignment="1">
      <alignment horizontal="left" wrapText="1"/>
    </xf>
    <xf numFmtId="0" fontId="8" fillId="2" borderId="1" xfId="3" applyFont="1" applyFill="1" applyBorder="1" applyAlignment="1">
      <alignment horizontal="left" wrapText="1"/>
    </xf>
    <xf numFmtId="0" fontId="8" fillId="2" borderId="20" xfId="3" applyFont="1" applyFill="1" applyBorder="1" applyAlignment="1">
      <alignment horizontal="left" wrapText="1"/>
    </xf>
    <xf numFmtId="0" fontId="8" fillId="2" borderId="30" xfId="3" applyFont="1" applyFill="1" applyBorder="1" applyAlignment="1">
      <alignment horizontal="left" wrapText="1"/>
    </xf>
    <xf numFmtId="0" fontId="12" fillId="2" borderId="1" xfId="0" applyFont="1" applyFill="1" applyBorder="1" applyAlignment="1">
      <alignment horizontal="center" vertical="center" wrapText="1"/>
    </xf>
    <xf numFmtId="0" fontId="12" fillId="2" borderId="30" xfId="0" applyFont="1" applyFill="1" applyBorder="1" applyAlignment="1">
      <alignment horizontal="center" vertical="center" wrapText="1"/>
    </xf>
    <xf numFmtId="0" fontId="7" fillId="2" borderId="2" xfId="0" applyFont="1" applyFill="1" applyBorder="1" applyAlignment="1">
      <alignment horizontal="left"/>
    </xf>
    <xf numFmtId="0" fontId="8" fillId="2" borderId="2" xfId="2" applyFont="1" applyFill="1" applyBorder="1" applyAlignment="1">
      <alignment vertical="top"/>
    </xf>
    <xf numFmtId="0" fontId="6" fillId="2" borderId="0" xfId="2" applyFont="1" applyFill="1" applyAlignment="1">
      <alignment horizontal="center"/>
    </xf>
    <xf numFmtId="0" fontId="25" fillId="0" borderId="29" xfId="0" applyFont="1" applyBorder="1" applyAlignment="1">
      <alignment horizontal="center" vertical="center" wrapText="1"/>
    </xf>
    <xf numFmtId="0" fontId="25" fillId="0" borderId="29" xfId="0" applyFont="1" applyBorder="1" applyAlignment="1">
      <alignment vertical="center" wrapText="1"/>
    </xf>
    <xf numFmtId="0" fontId="26" fillId="0" borderId="29" xfId="1" applyFont="1" applyFill="1" applyBorder="1" applyAlignment="1">
      <alignment horizontal="center" vertical="center"/>
    </xf>
    <xf numFmtId="0" fontId="25" fillId="0" borderId="29" xfId="0" applyFont="1" applyBorder="1" applyAlignment="1">
      <alignment horizontal="center" vertical="center"/>
    </xf>
    <xf numFmtId="0" fontId="1" fillId="2" borderId="29" xfId="3" applyFont="1" applyFill="1" applyBorder="1" applyAlignment="1">
      <alignment horizontal="left" vertical="center" wrapText="1"/>
    </xf>
    <xf numFmtId="0" fontId="27" fillId="2" borderId="29" xfId="0" applyFont="1" applyFill="1" applyBorder="1" applyAlignment="1">
      <alignment horizontal="left" vertical="center" wrapText="1"/>
    </xf>
    <xf numFmtId="0" fontId="1" fillId="2" borderId="29" xfId="3" applyFont="1" applyFill="1" applyBorder="1" applyAlignment="1">
      <alignment horizontal="center" vertical="center" wrapText="1"/>
    </xf>
    <xf numFmtId="0" fontId="25" fillId="0" borderId="29" xfId="0" applyFont="1" applyBorder="1" applyAlignment="1">
      <alignment horizontal="left" vertical="center" wrapText="1"/>
    </xf>
    <xf numFmtId="0" fontId="9" fillId="3" borderId="37" xfId="3" applyFont="1" applyFill="1" applyBorder="1" applyAlignment="1">
      <alignment horizontal="center" vertical="center" wrapText="1"/>
    </xf>
    <xf numFmtId="0" fontId="9" fillId="3" borderId="38" xfId="3" applyFont="1" applyFill="1" applyBorder="1" applyAlignment="1">
      <alignment horizontal="center" vertical="center" wrapText="1"/>
    </xf>
    <xf numFmtId="0" fontId="9" fillId="3" borderId="39" xfId="3" applyFont="1" applyFill="1" applyBorder="1" applyAlignment="1">
      <alignment horizontal="center" vertical="center" wrapText="1"/>
    </xf>
    <xf numFmtId="0" fontId="25" fillId="0" borderId="40" xfId="0" applyFont="1" applyBorder="1" applyAlignment="1">
      <alignment horizontal="center" vertical="center" wrapText="1"/>
    </xf>
    <xf numFmtId="0" fontId="1" fillId="2" borderId="41" xfId="0" applyFont="1" applyFill="1" applyBorder="1" applyAlignment="1">
      <alignment horizontal="center" vertical="center" wrapText="1"/>
    </xf>
    <xf numFmtId="0" fontId="25" fillId="0" borderId="41" xfId="0" applyFont="1" applyBorder="1" applyAlignment="1">
      <alignment horizontal="center" vertical="center" wrapText="1"/>
    </xf>
    <xf numFmtId="0" fontId="25" fillId="0" borderId="40" xfId="0" applyFont="1" applyBorder="1" applyAlignment="1">
      <alignment horizontal="center" vertical="center"/>
    </xf>
    <xf numFmtId="0" fontId="25" fillId="0" borderId="42" xfId="0" applyFont="1" applyBorder="1" applyAlignment="1">
      <alignment horizontal="center" vertical="center"/>
    </xf>
    <xf numFmtId="0" fontId="25" fillId="0" borderId="43" xfId="0" applyFont="1" applyBorder="1" applyAlignment="1">
      <alignment horizontal="left" vertical="center" wrapText="1"/>
    </xf>
    <xf numFmtId="0" fontId="25" fillId="0" borderId="43" xfId="0" applyFont="1" applyBorder="1" applyAlignment="1">
      <alignment vertical="center" wrapText="1"/>
    </xf>
    <xf numFmtId="0" fontId="1" fillId="2" borderId="43" xfId="0" applyFont="1" applyFill="1" applyBorder="1" applyAlignment="1">
      <alignment vertical="center" wrapText="1"/>
    </xf>
    <xf numFmtId="0" fontId="25" fillId="0" borderId="43" xfId="0" applyFont="1" applyBorder="1" applyAlignment="1">
      <alignment horizontal="center" vertical="center"/>
    </xf>
    <xf numFmtId="0" fontId="26" fillId="0" borderId="43" xfId="1" applyFont="1" applyFill="1" applyBorder="1" applyAlignment="1">
      <alignment horizontal="center" vertical="center"/>
    </xf>
    <xf numFmtId="0" fontId="1" fillId="2" borderId="44" xfId="0" applyFont="1" applyFill="1" applyBorder="1" applyAlignment="1">
      <alignment horizontal="center" vertical="center"/>
    </xf>
    <xf numFmtId="0" fontId="26" fillId="0" borderId="29" xfId="1" applyFont="1" applyBorder="1" applyAlignment="1">
      <alignment horizontal="center" vertical="center"/>
    </xf>
    <xf numFmtId="0" fontId="25" fillId="0" borderId="36" xfId="0" applyFont="1" applyBorder="1" applyAlignment="1">
      <alignment horizontal="center" vertical="center"/>
    </xf>
    <xf numFmtId="0" fontId="25" fillId="0" borderId="0" xfId="0" applyFont="1" applyAlignment="1">
      <alignment horizontal="left" vertical="center" wrapText="1"/>
    </xf>
    <xf numFmtId="0" fontId="25" fillId="0" borderId="36" xfId="0" applyFont="1" applyBorder="1" applyAlignment="1">
      <alignment vertical="center" wrapText="1"/>
    </xf>
    <xf numFmtId="0" fontId="26" fillId="0" borderId="36" xfId="1" applyFont="1" applyBorder="1" applyAlignment="1">
      <alignment horizontal="center" vertical="center"/>
    </xf>
    <xf numFmtId="0" fontId="25" fillId="0" borderId="29" xfId="0" applyFont="1" applyBorder="1"/>
    <xf numFmtId="0" fontId="1" fillId="2" borderId="29" xfId="0" applyFont="1" applyFill="1" applyBorder="1" applyAlignment="1">
      <alignment horizontal="left" vertical="center" wrapText="1"/>
    </xf>
    <xf numFmtId="0" fontId="1" fillId="2" borderId="29" xfId="0" applyFont="1" applyFill="1" applyBorder="1" applyAlignment="1">
      <alignment horizontal="left" vertical="center"/>
    </xf>
  </cellXfs>
  <cellStyles count="5">
    <cellStyle name="Hyperlink" xfId="1" builtinId="8"/>
    <cellStyle name="Normal" xfId="0" builtinId="0"/>
    <cellStyle name="Normal_Functional Test Case v1.0" xfId="2" xr:uid="{C48BB584-700B-D64B-8404-4676C820111A}"/>
    <cellStyle name="Normal_Sheet1" xfId="3" xr:uid="{A9264020-C429-5142-9C39-B67A411B90CE}"/>
    <cellStyle name="標準_結合試験(AllOvertheWorld)" xfId="4" xr:uid="{68F5B3C1-6BAD-E84F-8A2E-C6AF50D2838D}"/>
  </cellStyles>
  <dxfs count="0"/>
  <tableStyles count="1" defaultTableStyle="TableStyleMedium9" defaultPivotStyle="PivotStyleLight16">
    <tableStyle name="Invisible" pivot="0" table="0" count="0" xr9:uid="{AF480CE7-EB18-DC4D-AB1A-332A241A87F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348D-9796-DF47-B02F-62DFD208A110}">
  <dimension ref="A2:G18"/>
  <sheetViews>
    <sheetView tabSelected="1" workbookViewId="0"/>
  </sheetViews>
  <sheetFormatPr defaultColWidth="9" defaultRowHeight="12.75" x14ac:dyDescent="0.2"/>
  <cols>
    <col min="1" max="1" width="2.125" style="1" customWidth="1"/>
    <col min="2" max="2" width="19.625" style="2" customWidth="1"/>
    <col min="3" max="3" width="9.125" style="1" customWidth="1"/>
    <col min="4" max="4" width="14.5" style="1" customWidth="1"/>
    <col min="5" max="5" width="8" style="1" customWidth="1"/>
    <col min="6" max="6" width="31.125" style="1" customWidth="1"/>
    <col min="7" max="7" width="31" style="1" customWidth="1"/>
    <col min="8" max="16384" width="9" style="1"/>
  </cols>
  <sheetData>
    <row r="2" spans="1:7" s="5" customFormat="1" ht="75.75" customHeight="1" x14ac:dyDescent="0.15">
      <c r="A2" s="3"/>
      <c r="B2" s="4"/>
      <c r="C2" s="123" t="s">
        <v>0</v>
      </c>
      <c r="D2" s="123"/>
      <c r="E2" s="123"/>
      <c r="F2" s="123"/>
      <c r="G2" s="123"/>
    </row>
    <row r="3" spans="1:7" x14ac:dyDescent="0.2">
      <c r="B3" s="6"/>
      <c r="C3" s="7"/>
      <c r="F3" s="8"/>
    </row>
    <row r="4" spans="1:7" ht="14.25" customHeight="1" x14ac:dyDescent="0.2">
      <c r="B4" s="9" t="s">
        <v>1</v>
      </c>
      <c r="C4" s="124" t="s">
        <v>2</v>
      </c>
      <c r="D4" s="124"/>
      <c r="E4" s="124"/>
      <c r="F4" s="9" t="s">
        <v>3</v>
      </c>
      <c r="G4" s="10"/>
    </row>
    <row r="5" spans="1:7" ht="14.25" customHeight="1" x14ac:dyDescent="0.2">
      <c r="B5" s="9" t="s">
        <v>4</v>
      </c>
      <c r="C5" s="124" t="s">
        <v>5</v>
      </c>
      <c r="D5" s="124"/>
      <c r="E5" s="124"/>
      <c r="F5" s="9" t="s">
        <v>6</v>
      </c>
      <c r="G5" s="10"/>
    </row>
    <row r="6" spans="1:7" ht="15.75" customHeight="1" x14ac:dyDescent="0.2">
      <c r="B6" s="125" t="s">
        <v>7</v>
      </c>
      <c r="C6" s="126" t="str">
        <f>C5&amp;"_"&amp;"XXX"&amp;"_"&amp;"vx.x"</f>
        <v>&lt;Project Code&gt;_XXX_vx.x</v>
      </c>
      <c r="D6" s="126"/>
      <c r="E6" s="126"/>
      <c r="F6" s="9" t="s">
        <v>8</v>
      </c>
      <c r="G6" s="12"/>
    </row>
    <row r="7" spans="1:7" ht="13.5" customHeight="1" x14ac:dyDescent="0.2">
      <c r="B7" s="125"/>
      <c r="C7" s="126"/>
      <c r="D7" s="126"/>
      <c r="E7" s="126"/>
      <c r="F7" s="9" t="s">
        <v>9</v>
      </c>
      <c r="G7" s="12"/>
    </row>
    <row r="8" spans="1:7" x14ac:dyDescent="0.2">
      <c r="B8" s="13"/>
      <c r="C8" s="14"/>
      <c r="F8" s="6"/>
      <c r="G8" s="7"/>
    </row>
    <row r="10" spans="1:7" x14ac:dyDescent="0.2">
      <c r="B10" s="15" t="s">
        <v>10</v>
      </c>
    </row>
    <row r="11" spans="1:7" s="16" customFormat="1" x14ac:dyDescent="0.15">
      <c r="B11" s="17" t="s">
        <v>11</v>
      </c>
      <c r="C11" s="18" t="s">
        <v>9</v>
      </c>
      <c r="D11" s="18" t="s">
        <v>12</v>
      </c>
      <c r="E11" s="18" t="s">
        <v>13</v>
      </c>
      <c r="F11" s="18" t="s">
        <v>14</v>
      </c>
      <c r="G11" s="19" t="s">
        <v>15</v>
      </c>
    </row>
    <row r="12" spans="1:7" s="20" customFormat="1" ht="25.5" x14ac:dyDescent="0.15">
      <c r="B12" s="21" t="s">
        <v>16</v>
      </c>
      <c r="C12" s="22"/>
      <c r="D12" s="23"/>
      <c r="E12" s="23"/>
      <c r="F12" s="24"/>
      <c r="G12" s="25" t="s">
        <v>53</v>
      </c>
    </row>
    <row r="13" spans="1:7" s="20" customFormat="1" ht="21.75" customHeight="1" x14ac:dyDescent="0.15">
      <c r="B13" s="26"/>
      <c r="C13" s="22"/>
      <c r="D13" s="23"/>
      <c r="E13" s="23"/>
      <c r="F13" s="23"/>
      <c r="G13" s="27"/>
    </row>
    <row r="14" spans="1:7" s="20" customFormat="1" ht="19.5" customHeight="1" x14ac:dyDescent="0.15">
      <c r="B14" s="26"/>
      <c r="C14" s="22"/>
      <c r="D14" s="23"/>
      <c r="E14" s="23"/>
      <c r="F14" s="23"/>
      <c r="G14" s="27"/>
    </row>
    <row r="15" spans="1:7" s="20" customFormat="1" ht="21.75" customHeight="1" x14ac:dyDescent="0.15">
      <c r="B15" s="26"/>
      <c r="C15" s="22"/>
      <c r="D15" s="23"/>
      <c r="E15" s="23"/>
      <c r="F15" s="23"/>
      <c r="G15" s="27"/>
    </row>
    <row r="16" spans="1:7" s="20" customFormat="1" ht="19.5" customHeight="1" x14ac:dyDescent="0.15">
      <c r="B16" s="26"/>
      <c r="C16" s="22"/>
      <c r="D16" s="23"/>
      <c r="E16" s="23"/>
      <c r="F16" s="23"/>
      <c r="G16" s="27"/>
    </row>
    <row r="17" spans="2:7" s="20" customFormat="1" ht="21.75" customHeight="1" x14ac:dyDescent="0.15">
      <c r="B17" s="26"/>
      <c r="C17" s="22"/>
      <c r="D17" s="23"/>
      <c r="E17" s="23"/>
      <c r="F17" s="23"/>
      <c r="G17" s="27"/>
    </row>
    <row r="18" spans="2:7" s="20" customFormat="1" ht="19.5" customHeight="1" x14ac:dyDescent="0.15">
      <c r="B18" s="28"/>
      <c r="C18" s="29"/>
      <c r="D18" s="30"/>
      <c r="E18" s="30"/>
      <c r="F18" s="30"/>
      <c r="G18" s="31"/>
    </row>
  </sheetData>
  <mergeCells count="5">
    <mergeCell ref="C2:G2"/>
    <mergeCell ref="C4:E4"/>
    <mergeCell ref="C5:E5"/>
    <mergeCell ref="B6:B7"/>
    <mergeCell ref="C6:E7"/>
  </mergeCells>
  <phoneticPr fontId="0" type="noConversion"/>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v2/0&amp;C&amp;"Tahoma,Regular"&amp;8Internal use&amp;R&amp;"tahomaTahoma,Regular"&amp;8&amp;P/&amp;N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C800-0BA0-DF42-BAF3-9D3D5760E564}">
  <dimension ref="B1:F21"/>
  <sheetViews>
    <sheetView topLeftCell="A5" zoomScale="178" workbookViewId="0">
      <selection activeCell="C10" sqref="C10"/>
    </sheetView>
  </sheetViews>
  <sheetFormatPr defaultColWidth="9" defaultRowHeight="12.75" x14ac:dyDescent="0.2"/>
  <cols>
    <col min="1" max="1" width="1.375" style="8" customWidth="1"/>
    <col min="2" max="2" width="11.875" style="32" customWidth="1"/>
    <col min="3" max="3" width="26.5" style="33" customWidth="1"/>
    <col min="4" max="4" width="17.125" style="33" customWidth="1"/>
    <col min="5" max="5" width="28.125" style="33" customWidth="1"/>
    <col min="6" max="6" width="30.625" style="33" customWidth="1"/>
    <col min="7" max="16384" width="9" style="8"/>
  </cols>
  <sheetData>
    <row r="1" spans="2:6" ht="25.5" x14ac:dyDescent="0.35">
      <c r="B1" s="34"/>
      <c r="D1" s="35" t="s">
        <v>17</v>
      </c>
      <c r="E1" s="36"/>
    </row>
    <row r="2" spans="2:6" ht="13.5" customHeight="1" x14ac:dyDescent="0.2">
      <c r="B2" s="34"/>
      <c r="D2" s="37"/>
      <c r="E2" s="37"/>
    </row>
    <row r="3" spans="2:6" x14ac:dyDescent="0.2">
      <c r="B3" s="129" t="s">
        <v>1</v>
      </c>
      <c r="C3" s="129"/>
      <c r="D3" s="130" t="str">
        <f>Cover!C4</f>
        <v>&lt;Project Name&gt;</v>
      </c>
      <c r="E3" s="130"/>
      <c r="F3" s="130"/>
    </row>
    <row r="4" spans="2:6" x14ac:dyDescent="0.2">
      <c r="B4" s="129" t="s">
        <v>4</v>
      </c>
      <c r="C4" s="129"/>
      <c r="D4" s="130" t="str">
        <f>Cover!C5</f>
        <v>&lt;Project Code&gt;</v>
      </c>
      <c r="E4" s="130"/>
      <c r="F4" s="130"/>
    </row>
    <row r="5" spans="2:6" s="38" customFormat="1" ht="84.75" customHeight="1" x14ac:dyDescent="0.2">
      <c r="B5" s="127" t="s">
        <v>18</v>
      </c>
      <c r="C5" s="127"/>
      <c r="D5" s="128" t="s">
        <v>19</v>
      </c>
      <c r="E5" s="128"/>
      <c r="F5" s="128"/>
    </row>
    <row r="6" spans="2:6" x14ac:dyDescent="0.2">
      <c r="B6" s="39"/>
      <c r="C6" s="8"/>
      <c r="D6" s="8"/>
      <c r="E6" s="8"/>
      <c r="F6" s="8"/>
    </row>
    <row r="7" spans="2:6" s="40" customFormat="1" x14ac:dyDescent="0.15">
      <c r="B7" s="41"/>
      <c r="C7" s="42"/>
      <c r="D7" s="42"/>
      <c r="E7" s="42"/>
      <c r="F7" s="42"/>
    </row>
    <row r="8" spans="2:6" s="43" customFormat="1" ht="21" customHeight="1" x14ac:dyDescent="0.2">
      <c r="B8" s="44" t="s">
        <v>20</v>
      </c>
      <c r="C8" s="45" t="s">
        <v>21</v>
      </c>
      <c r="D8" s="45" t="s">
        <v>22</v>
      </c>
      <c r="E8" s="46" t="s">
        <v>23</v>
      </c>
      <c r="F8" s="47" t="s">
        <v>24</v>
      </c>
    </row>
    <row r="9" spans="2:6" ht="12.95" customHeight="1" x14ac:dyDescent="0.25">
      <c r="B9" s="48">
        <v>1</v>
      </c>
      <c r="C9" s="113" t="s">
        <v>68</v>
      </c>
      <c r="D9" s="50" t="s">
        <v>25</v>
      </c>
      <c r="E9" s="50"/>
      <c r="F9" s="51"/>
    </row>
    <row r="10" spans="2:6" ht="14.1" customHeight="1" x14ac:dyDescent="0.25">
      <c r="B10" s="48">
        <v>2</v>
      </c>
      <c r="C10" s="113" t="s">
        <v>69</v>
      </c>
      <c r="D10" s="107" t="s">
        <v>26</v>
      </c>
      <c r="E10" s="50"/>
      <c r="F10" s="51"/>
    </row>
    <row r="11" spans="2:6" ht="14.1" customHeight="1" x14ac:dyDescent="0.2">
      <c r="B11" s="48"/>
      <c r="C11" s="49"/>
      <c r="D11" s="108"/>
      <c r="E11" s="50"/>
      <c r="F11" s="51"/>
    </row>
    <row r="12" spans="2:6" ht="12.95" customHeight="1" x14ac:dyDescent="0.2">
      <c r="B12" s="48"/>
      <c r="C12" s="49"/>
      <c r="D12" s="50"/>
      <c r="E12" s="50"/>
      <c r="F12" s="51"/>
    </row>
    <row r="13" spans="2:6" x14ac:dyDescent="0.2">
      <c r="B13" s="48"/>
      <c r="C13" s="49"/>
      <c r="D13" s="50"/>
      <c r="E13" s="50"/>
      <c r="F13" s="51"/>
    </row>
    <row r="14" spans="2:6" x14ac:dyDescent="0.2">
      <c r="B14" s="48"/>
      <c r="C14" s="49"/>
      <c r="D14" s="52"/>
      <c r="E14" s="52"/>
      <c r="F14" s="51"/>
    </row>
    <row r="15" spans="2:6" x14ac:dyDescent="0.2">
      <c r="B15" s="48"/>
      <c r="C15" s="49"/>
      <c r="D15" s="52"/>
      <c r="E15" s="52"/>
      <c r="F15" s="51"/>
    </row>
    <row r="16" spans="2:6" x14ac:dyDescent="0.2">
      <c r="B16" s="48"/>
      <c r="C16" s="49"/>
      <c r="D16" s="52"/>
      <c r="E16" s="52"/>
      <c r="F16" s="51"/>
    </row>
    <row r="17" spans="2:6" x14ac:dyDescent="0.2">
      <c r="B17" s="48"/>
      <c r="C17" s="49"/>
      <c r="D17" s="52"/>
      <c r="E17" s="52"/>
      <c r="F17" s="51"/>
    </row>
    <row r="18" spans="2:6" x14ac:dyDescent="0.2">
      <c r="B18" s="48"/>
      <c r="C18" s="49"/>
      <c r="D18" s="52"/>
      <c r="E18" s="52"/>
      <c r="F18" s="51"/>
    </row>
    <row r="19" spans="2:6" x14ac:dyDescent="0.2">
      <c r="B19" s="48"/>
      <c r="C19" s="49"/>
      <c r="D19" s="52"/>
      <c r="E19" s="52"/>
      <c r="F19" s="51"/>
    </row>
    <row r="20" spans="2:6" x14ac:dyDescent="0.2">
      <c r="B20" s="48"/>
      <c r="C20" s="49"/>
      <c r="D20" s="52"/>
      <c r="E20" s="52"/>
      <c r="F20" s="51"/>
    </row>
    <row r="21" spans="2:6" x14ac:dyDescent="0.2">
      <c r="B21" s="53"/>
      <c r="C21" s="54"/>
      <c r="D21" s="55"/>
      <c r="E21" s="55"/>
      <c r="F21" s="56"/>
    </row>
  </sheetData>
  <mergeCells count="6">
    <mergeCell ref="B5:C5"/>
    <mergeCell ref="D5:F5"/>
    <mergeCell ref="B3:C3"/>
    <mergeCell ref="D3:F3"/>
    <mergeCell ref="B4:C4"/>
    <mergeCell ref="D4:F4"/>
  </mergeCells>
  <phoneticPr fontId="0" type="noConversion"/>
  <hyperlinks>
    <hyperlink ref="D9" location="Module1!B10" display="Module1" xr:uid="{FC77F630-5337-2145-ADDB-A7DD980E1A2D}"/>
    <hyperlink ref="D10" location="Module2!A1" display="Module2" xr:uid="{EFC3B2F0-9872-0B4D-9F85-37113E4168DE}"/>
  </hyperlinks>
  <pageMargins left="0.74791666666666667" right="0.74791666666666667" top="0.98402777777777783" bottom="1.1506944444444445" header="0.51180555555555562" footer="0.98402777777777783"/>
  <pageSetup paperSize="9" firstPageNumber="0" orientation="landscape" horizontalDpi="300" verticalDpi="300"/>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6ABC5-B443-FF41-BA73-04E67E6728A8}">
  <dimension ref="A1:J15"/>
  <sheetViews>
    <sheetView zoomScale="115" zoomScaleNormal="115" workbookViewId="0">
      <pane ySplit="8" topLeftCell="A9" activePane="bottomLeft" state="frozen"/>
      <selection pane="bottomLeft" activeCell="H9" sqref="H9"/>
    </sheetView>
  </sheetViews>
  <sheetFormatPr defaultColWidth="9" defaultRowHeight="12.75" x14ac:dyDescent="0.2"/>
  <cols>
    <col min="1" max="1" width="14.375" style="8" customWidth="1"/>
    <col min="2" max="2" width="19.125" style="8" customWidth="1"/>
    <col min="3" max="3" width="32.125" style="8" customWidth="1"/>
    <col min="4" max="4" width="36.375" style="8" customWidth="1"/>
    <col min="5" max="5" width="28.625" style="8" customWidth="1"/>
    <col min="6" max="6" width="12.625" style="8" customWidth="1"/>
    <col min="7" max="7" width="14.875" style="8" customWidth="1"/>
    <col min="8" max="8" width="24.125" style="8" customWidth="1"/>
    <col min="9" max="9" width="23.625" style="57" customWidth="1"/>
    <col min="10" max="10" width="4.875" style="8" customWidth="1"/>
    <col min="11" max="16384" width="9" style="8"/>
  </cols>
  <sheetData>
    <row r="1" spans="1:10" s="63" customFormat="1" ht="13.5" thickBot="1" x14ac:dyDescent="0.25">
      <c r="A1" s="58"/>
      <c r="B1" s="59"/>
      <c r="C1" s="59"/>
      <c r="D1" s="59"/>
      <c r="E1" s="59"/>
      <c r="F1" s="60"/>
      <c r="G1" s="61"/>
      <c r="H1" s="38"/>
      <c r="I1" s="62"/>
    </row>
    <row r="2" spans="1:10" s="63" customFormat="1" ht="15" customHeight="1" x14ac:dyDescent="0.2">
      <c r="A2" s="64" t="s">
        <v>27</v>
      </c>
      <c r="B2" s="133" t="s">
        <v>28</v>
      </c>
      <c r="C2" s="134"/>
      <c r="D2" s="134"/>
      <c r="E2" s="134"/>
      <c r="F2" s="135"/>
      <c r="G2" s="38"/>
      <c r="H2" s="38"/>
      <c r="I2" s="62"/>
    </row>
    <row r="3" spans="1:10" s="63" customFormat="1" ht="25.5" customHeight="1" x14ac:dyDescent="0.2">
      <c r="A3" s="65" t="s">
        <v>30</v>
      </c>
      <c r="B3" s="136" t="s">
        <v>31</v>
      </c>
      <c r="C3" s="137"/>
      <c r="D3" s="137"/>
      <c r="E3" s="137"/>
      <c r="F3" s="138"/>
      <c r="G3" s="38"/>
      <c r="H3" s="38"/>
      <c r="I3" s="62"/>
    </row>
    <row r="4" spans="1:10" s="63" customFormat="1" ht="18" customHeight="1" x14ac:dyDescent="0.2">
      <c r="A4" s="64" t="s">
        <v>33</v>
      </c>
      <c r="B4" s="136"/>
      <c r="C4" s="137"/>
      <c r="D4" s="137"/>
      <c r="E4" s="137"/>
      <c r="F4" s="138"/>
      <c r="G4" s="38"/>
      <c r="H4" s="38"/>
      <c r="I4" s="62"/>
      <c r="J4" s="66"/>
    </row>
    <row r="5" spans="1:10" s="63" customFormat="1" ht="19.5" customHeight="1" x14ac:dyDescent="0.2">
      <c r="A5" s="67" t="s">
        <v>29</v>
      </c>
      <c r="B5" s="68" t="s">
        <v>32</v>
      </c>
      <c r="C5" s="68" t="s">
        <v>34</v>
      </c>
      <c r="D5" s="69" t="s">
        <v>35</v>
      </c>
      <c r="E5" s="139" t="s">
        <v>36</v>
      </c>
      <c r="F5" s="140"/>
      <c r="G5" s="70"/>
      <c r="H5" s="70"/>
      <c r="I5" s="71"/>
    </row>
    <row r="6" spans="1:10" s="63" customFormat="1" ht="15" customHeight="1" thickBot="1" x14ac:dyDescent="0.25">
      <c r="A6" s="72" cm="1">
        <f t="array" ref="A6">SUM(IF($G$9:$G$100="Pass",1,0))</f>
        <v>4</v>
      </c>
      <c r="B6" s="73" cm="1">
        <f t="array" ref="B6">SUM(IF($G$9:$G$100="Fail",1,0))</f>
        <v>1</v>
      </c>
      <c r="C6" s="73">
        <f>E6-D6-B6-A6</f>
        <v>0</v>
      </c>
      <c r="D6" s="74" cm="1">
        <f t="array" ref="D6">SUM(IF($G$9:$G$100="N/A",1,0))</f>
        <v>0</v>
      </c>
      <c r="E6" s="131">
        <f>ROWS(A9:A13)</f>
        <v>5</v>
      </c>
      <c r="F6" s="132"/>
      <c r="G6" s="70"/>
      <c r="H6" s="70"/>
      <c r="I6" s="71"/>
    </row>
    <row r="7" spans="1:10" s="63" customFormat="1" ht="15" customHeight="1" thickBot="1" x14ac:dyDescent="0.25">
      <c r="B7" s="63" cm="1">
        <f t="array" ref="B7">SUM(IF($G$9:$G$100="Fail",L10))</f>
        <v>0</v>
      </c>
      <c r="D7" s="75"/>
      <c r="E7" s="75"/>
      <c r="F7" s="70"/>
      <c r="G7" s="70"/>
      <c r="H7" s="70"/>
      <c r="I7" s="71"/>
    </row>
    <row r="8" spans="1:10" s="63" customFormat="1" ht="25.5" customHeight="1" x14ac:dyDescent="0.2">
      <c r="A8" s="152" t="s">
        <v>38</v>
      </c>
      <c r="B8" s="153" t="s">
        <v>39</v>
      </c>
      <c r="C8" s="153" t="s">
        <v>66</v>
      </c>
      <c r="D8" s="153" t="s">
        <v>40</v>
      </c>
      <c r="E8" s="153" t="s">
        <v>41</v>
      </c>
      <c r="F8" s="153" t="s">
        <v>56</v>
      </c>
      <c r="G8" s="153" t="s">
        <v>42</v>
      </c>
      <c r="H8" s="153" t="s">
        <v>54</v>
      </c>
      <c r="I8" s="154" t="s">
        <v>55</v>
      </c>
      <c r="J8" s="76"/>
    </row>
    <row r="9" spans="1:10" s="78" customFormat="1" ht="116.1" customHeight="1" x14ac:dyDescent="0.15">
      <c r="A9" s="155" t="s">
        <v>67</v>
      </c>
      <c r="B9" s="145" t="s">
        <v>70</v>
      </c>
      <c r="C9" s="145" t="s">
        <v>73</v>
      </c>
      <c r="D9" s="145" t="s">
        <v>128</v>
      </c>
      <c r="E9" s="145" t="s">
        <v>72</v>
      </c>
      <c r="F9" s="144" t="s">
        <v>57</v>
      </c>
      <c r="G9" s="144" t="s">
        <v>29</v>
      </c>
      <c r="H9" s="146" t="s">
        <v>104</v>
      </c>
      <c r="I9" s="156"/>
      <c r="J9" s="77"/>
    </row>
    <row r="10" spans="1:10" s="78" customFormat="1" ht="129" customHeight="1" x14ac:dyDescent="0.15">
      <c r="A10" s="155" t="s">
        <v>71</v>
      </c>
      <c r="B10" s="145" t="s">
        <v>74</v>
      </c>
      <c r="C10" s="145" t="s">
        <v>75</v>
      </c>
      <c r="D10" s="145" t="s">
        <v>129</v>
      </c>
      <c r="E10" s="145" t="s">
        <v>76</v>
      </c>
      <c r="F10" s="144" t="s">
        <v>58</v>
      </c>
      <c r="G10" s="144" t="s">
        <v>29</v>
      </c>
      <c r="H10" s="146" t="s">
        <v>104</v>
      </c>
      <c r="I10" s="156"/>
      <c r="J10" s="77"/>
    </row>
    <row r="11" spans="1:10" s="112" customFormat="1" ht="93" customHeight="1" x14ac:dyDescent="0.15">
      <c r="A11" s="155" t="s">
        <v>77</v>
      </c>
      <c r="B11" s="145" t="s">
        <v>78</v>
      </c>
      <c r="C11" s="145" t="s">
        <v>79</v>
      </c>
      <c r="D11" s="145" t="s">
        <v>130</v>
      </c>
      <c r="E11" s="145" t="s">
        <v>133</v>
      </c>
      <c r="F11" s="144" t="s">
        <v>60</v>
      </c>
      <c r="G11" s="144" t="s">
        <v>29</v>
      </c>
      <c r="H11" s="146" t="s">
        <v>104</v>
      </c>
      <c r="I11" s="157"/>
    </row>
    <row r="12" spans="1:10" ht="102" customHeight="1" x14ac:dyDescent="0.2">
      <c r="A12" s="158" t="s">
        <v>80</v>
      </c>
      <c r="B12" s="145" t="s">
        <v>81</v>
      </c>
      <c r="C12" s="145" t="s">
        <v>82</v>
      </c>
      <c r="D12" s="148" t="s">
        <v>131</v>
      </c>
      <c r="E12" s="149" t="s">
        <v>132</v>
      </c>
      <c r="F12" s="109" t="s">
        <v>61</v>
      </c>
      <c r="G12" s="150" t="s">
        <v>29</v>
      </c>
      <c r="H12" s="146" t="s">
        <v>104</v>
      </c>
      <c r="I12" s="156"/>
      <c r="J12" s="77"/>
    </row>
    <row r="13" spans="1:10" ht="104.1" customHeight="1" thickBot="1" x14ac:dyDescent="0.25">
      <c r="A13" s="159" t="s">
        <v>87</v>
      </c>
      <c r="B13" s="160" t="s">
        <v>107</v>
      </c>
      <c r="C13" s="161" t="s">
        <v>106</v>
      </c>
      <c r="D13" s="162" t="s">
        <v>134</v>
      </c>
      <c r="E13" s="162" t="s">
        <v>105</v>
      </c>
      <c r="F13" s="163" t="s">
        <v>62</v>
      </c>
      <c r="G13" s="163" t="s">
        <v>32</v>
      </c>
      <c r="H13" s="164" t="s">
        <v>104</v>
      </c>
      <c r="I13" s="165" t="s">
        <v>108</v>
      </c>
    </row>
    <row r="14" spans="1:10" ht="14.25" x14ac:dyDescent="0.2">
      <c r="A14" s="57"/>
      <c r="C14"/>
      <c r="I14" s="8"/>
    </row>
    <row r="15" spans="1:10" x14ac:dyDescent="0.2">
      <c r="A15" s="57"/>
      <c r="I15" s="8"/>
    </row>
  </sheetData>
  <mergeCells count="5">
    <mergeCell ref="E6:F6"/>
    <mergeCell ref="B2:F2"/>
    <mergeCell ref="B3:F3"/>
    <mergeCell ref="B4:F4"/>
    <mergeCell ref="E5:F5"/>
  </mergeCells>
  <phoneticPr fontId="0" type="noConversion"/>
  <dataValidations count="1">
    <dataValidation type="list" allowBlank="1" showErrorMessage="1" sqref="F1:F3 F7 G8:G12 F16:F140" xr:uid="{0926D9D0-1AE7-204E-AFDC-71D73AD07237}">
      <formula1>$J$2:$J$6</formula1>
      <formula2>0</formula2>
    </dataValidation>
  </dataValidations>
  <hyperlinks>
    <hyperlink ref="H9" location="TestData!A1" display="TestData" xr:uid="{8D6579C3-10C0-4E47-BFB2-5C84A7DFA341}"/>
    <hyperlink ref="H10:H13" location="TestData!A1" display="TestData" xr:uid="{F7AA01B7-21EF-0A42-B258-3215C6FEC8C7}"/>
  </hyperlinks>
  <pageMargins left="0.74791666666666667" right="0.25" top="0.75" bottom="0.98402777777777772" header="0.5" footer="0.5"/>
  <pageSetup paperSize="9" firstPageNumber="0" orientation="landscape" horizontalDpi="300" verticalDpi="300"/>
  <headerFooter alignWithMargins="0">
    <oddHeader>&amp;LFacilitate_Test Case\Company&amp;Rv1.0</oddHeader>
    <oddFooter>&amp;L&amp;"Tahoma,Regular"&amp;8 02ae-BM/PM/HDCV/FSOFT v2/0&amp;C&amp;"Tahoma,Regular"&amp;10Internal use&amp;R&amp;"Tahoma,Regular"&amp;8&amp;P/&amp;N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1E61-C7DA-8B4C-BFD3-A6A16B4F2133}">
  <dimension ref="A1:J20"/>
  <sheetViews>
    <sheetView zoomScaleNormal="130" workbookViewId="0">
      <pane ySplit="8" topLeftCell="A9" activePane="bottomLeft" state="frozen"/>
      <selection pane="bottomLeft" activeCell="G9" sqref="G9"/>
    </sheetView>
  </sheetViews>
  <sheetFormatPr defaultColWidth="9" defaultRowHeight="12.75" x14ac:dyDescent="0.2"/>
  <cols>
    <col min="1" max="1" width="14.375" style="8" customWidth="1"/>
    <col min="2" max="2" width="28.375" style="8" customWidth="1"/>
    <col min="3" max="3" width="32.125" style="8" customWidth="1"/>
    <col min="4" max="5" width="38.875" style="8" customWidth="1"/>
    <col min="6" max="6" width="12.625" style="8" customWidth="1"/>
    <col min="7" max="7" width="14.875" style="8" customWidth="1"/>
    <col min="8" max="8" width="24.125" style="8" customWidth="1"/>
    <col min="9" max="9" width="15" style="57" customWidth="1"/>
    <col min="10" max="10" width="0" style="8" hidden="1" customWidth="1"/>
    <col min="11" max="16384" width="9" style="8"/>
  </cols>
  <sheetData>
    <row r="1" spans="1:10" s="63" customFormat="1" ht="13.5" thickBot="1" x14ac:dyDescent="0.25">
      <c r="A1" s="58"/>
      <c r="B1" s="59"/>
      <c r="C1" s="59"/>
      <c r="D1" s="59"/>
      <c r="E1" s="59"/>
      <c r="F1" s="60"/>
      <c r="G1" s="61"/>
      <c r="H1" s="38"/>
      <c r="I1" s="62"/>
    </row>
    <row r="2" spans="1:10" s="63" customFormat="1" ht="15" customHeight="1" x14ac:dyDescent="0.2">
      <c r="A2" s="64" t="s">
        <v>27</v>
      </c>
      <c r="B2" s="133" t="s">
        <v>28</v>
      </c>
      <c r="C2" s="134"/>
      <c r="D2" s="134"/>
      <c r="E2" s="134"/>
      <c r="F2" s="135"/>
      <c r="G2" s="38"/>
      <c r="H2" s="38"/>
      <c r="I2" s="62"/>
      <c r="J2" s="63" t="s">
        <v>29</v>
      </c>
    </row>
    <row r="3" spans="1:10" s="63" customFormat="1" ht="25.5" customHeight="1" x14ac:dyDescent="0.2">
      <c r="A3" s="65" t="s">
        <v>30</v>
      </c>
      <c r="B3" s="136" t="s">
        <v>31</v>
      </c>
      <c r="C3" s="137"/>
      <c r="D3" s="137"/>
      <c r="E3" s="137"/>
      <c r="F3" s="138"/>
      <c r="G3" s="38"/>
      <c r="H3" s="38"/>
      <c r="I3" s="62"/>
      <c r="J3" s="63" t="s">
        <v>32</v>
      </c>
    </row>
    <row r="4" spans="1:10" s="63" customFormat="1" ht="18" customHeight="1" x14ac:dyDescent="0.2">
      <c r="A4" s="64" t="s">
        <v>33</v>
      </c>
      <c r="B4" s="136"/>
      <c r="C4" s="137"/>
      <c r="D4" s="137"/>
      <c r="E4" s="137"/>
      <c r="F4" s="138"/>
      <c r="G4" s="38"/>
      <c r="H4" s="38"/>
      <c r="I4" s="62"/>
      <c r="J4" s="66"/>
    </row>
    <row r="5" spans="1:10" s="63" customFormat="1" ht="19.5" customHeight="1" x14ac:dyDescent="0.2">
      <c r="A5" s="67" t="s">
        <v>29</v>
      </c>
      <c r="B5" s="68" t="s">
        <v>32</v>
      </c>
      <c r="C5" s="68" t="s">
        <v>34</v>
      </c>
      <c r="D5" s="69" t="s">
        <v>35</v>
      </c>
      <c r="E5" s="139" t="s">
        <v>36</v>
      </c>
      <c r="F5" s="140"/>
      <c r="G5" s="70"/>
      <c r="H5" s="70"/>
      <c r="I5" s="71"/>
      <c r="J5" s="63" t="s">
        <v>37</v>
      </c>
    </row>
    <row r="6" spans="1:10" s="63" customFormat="1" ht="15" customHeight="1" thickBot="1" x14ac:dyDescent="0.25">
      <c r="A6" s="72" cm="1">
        <f t="array" ref="A6">SUM(IF($G$9:$G$99="Pass",1,0))</f>
        <v>2</v>
      </c>
      <c r="B6" s="73" cm="1">
        <f t="array" ref="B6">SUM(IF($G$9:$G$99="Fail",1,0))</f>
        <v>0</v>
      </c>
      <c r="C6" s="73">
        <f>E6-D6-B6-A6</f>
        <v>0</v>
      </c>
      <c r="D6" s="74" cm="1">
        <f t="array" ref="D6">SUM(IF($G$9:$G$99="N/A",1,0))</f>
        <v>3</v>
      </c>
      <c r="E6" s="131">
        <f>5</f>
        <v>5</v>
      </c>
      <c r="F6" s="132"/>
      <c r="G6" s="70"/>
      <c r="H6" s="70"/>
      <c r="I6" s="71"/>
      <c r="J6" s="63" t="s">
        <v>35</v>
      </c>
    </row>
    <row r="7" spans="1:10" s="63" customFormat="1" ht="15" customHeight="1" x14ac:dyDescent="0.2">
      <c r="D7" s="75"/>
      <c r="E7" s="75"/>
      <c r="F7" s="70"/>
      <c r="G7" s="70"/>
      <c r="H7" s="70"/>
      <c r="I7" s="71"/>
    </row>
    <row r="8" spans="1:10" s="63" customFormat="1" ht="25.5" customHeight="1" x14ac:dyDescent="0.2">
      <c r="A8" s="110" t="s">
        <v>38</v>
      </c>
      <c r="B8" s="110" t="s">
        <v>39</v>
      </c>
      <c r="C8" s="110" t="s">
        <v>66</v>
      </c>
      <c r="D8" s="110" t="s">
        <v>40</v>
      </c>
      <c r="E8" s="110" t="s">
        <v>41</v>
      </c>
      <c r="F8" s="110" t="s">
        <v>56</v>
      </c>
      <c r="G8" s="110" t="s">
        <v>42</v>
      </c>
      <c r="H8" s="110" t="s">
        <v>54</v>
      </c>
      <c r="I8" s="110" t="s">
        <v>55</v>
      </c>
      <c r="J8" s="76"/>
    </row>
    <row r="9" spans="1:10" s="78" customFormat="1" ht="71.25" x14ac:dyDescent="0.15">
      <c r="A9" s="147" t="s">
        <v>83</v>
      </c>
      <c r="B9" s="145" t="s">
        <v>84</v>
      </c>
      <c r="C9" s="145" t="s">
        <v>85</v>
      </c>
      <c r="D9" s="145" t="s">
        <v>135</v>
      </c>
      <c r="E9" s="145" t="s">
        <v>86</v>
      </c>
      <c r="F9" s="147" t="s">
        <v>63</v>
      </c>
      <c r="G9" s="147" t="s">
        <v>35</v>
      </c>
      <c r="H9" s="166" t="s">
        <v>104</v>
      </c>
      <c r="I9" s="111"/>
      <c r="J9" s="77"/>
    </row>
    <row r="10" spans="1:10" s="78" customFormat="1" ht="85.5" x14ac:dyDescent="0.15">
      <c r="A10" s="167" t="s">
        <v>88</v>
      </c>
      <c r="B10" s="168" t="s">
        <v>111</v>
      </c>
      <c r="C10" s="169" t="s">
        <v>115</v>
      </c>
      <c r="D10" s="169" t="s">
        <v>136</v>
      </c>
      <c r="E10" s="169" t="s">
        <v>116</v>
      </c>
      <c r="F10" s="147" t="s">
        <v>64</v>
      </c>
      <c r="G10" s="167" t="s">
        <v>29</v>
      </c>
      <c r="H10" s="170" t="s">
        <v>104</v>
      </c>
      <c r="I10" s="121"/>
      <c r="J10" s="77"/>
    </row>
    <row r="11" spans="1:10" ht="71.25" x14ac:dyDescent="0.2">
      <c r="A11" s="144" t="s">
        <v>89</v>
      </c>
      <c r="B11" s="145" t="s">
        <v>112</v>
      </c>
      <c r="C11" s="145" t="s">
        <v>114</v>
      </c>
      <c r="D11" s="145" t="s">
        <v>137</v>
      </c>
      <c r="E11" s="169" t="s">
        <v>117</v>
      </c>
      <c r="F11" s="147" t="s">
        <v>65</v>
      </c>
      <c r="G11" s="147" t="s">
        <v>29</v>
      </c>
      <c r="H11" s="170" t="s">
        <v>104</v>
      </c>
      <c r="I11" s="171"/>
    </row>
    <row r="12" spans="1:10" ht="85.5" x14ac:dyDescent="0.2">
      <c r="A12" s="144" t="s">
        <v>113</v>
      </c>
      <c r="B12" s="145" t="s">
        <v>90</v>
      </c>
      <c r="C12" s="145" t="s">
        <v>91</v>
      </c>
      <c r="D12" s="145" t="s">
        <v>93</v>
      </c>
      <c r="E12" s="145" t="s">
        <v>92</v>
      </c>
      <c r="F12" s="147" t="s">
        <v>122</v>
      </c>
      <c r="G12" s="147" t="s">
        <v>35</v>
      </c>
      <c r="H12" s="166" t="s">
        <v>104</v>
      </c>
      <c r="I12" s="111" t="s">
        <v>110</v>
      </c>
    </row>
    <row r="13" spans="1:10" ht="57" x14ac:dyDescent="0.2">
      <c r="A13" s="144" t="s">
        <v>118</v>
      </c>
      <c r="B13" s="145" t="s">
        <v>119</v>
      </c>
      <c r="C13" s="172" t="s">
        <v>114</v>
      </c>
      <c r="D13" s="151" t="s">
        <v>120</v>
      </c>
      <c r="E13" s="173" t="s">
        <v>121</v>
      </c>
      <c r="F13" s="147" t="s">
        <v>124</v>
      </c>
      <c r="G13" s="147" t="s">
        <v>35</v>
      </c>
      <c r="H13" s="166" t="s">
        <v>104</v>
      </c>
      <c r="I13" s="111" t="s">
        <v>123</v>
      </c>
    </row>
    <row r="19" spans="9:9" x14ac:dyDescent="0.2">
      <c r="I19" s="8"/>
    </row>
    <row r="20" spans="9:9" x14ac:dyDescent="0.2">
      <c r="I20" s="8"/>
    </row>
  </sheetData>
  <mergeCells count="5">
    <mergeCell ref="B2:F2"/>
    <mergeCell ref="B3:F3"/>
    <mergeCell ref="B4:F4"/>
    <mergeCell ref="E5:F5"/>
    <mergeCell ref="E6:F6"/>
  </mergeCells>
  <phoneticPr fontId="23" type="noConversion"/>
  <dataValidations count="1">
    <dataValidation type="list" allowBlank="1" showErrorMessage="1" sqref="F1:F3 F7 G8:G13 F21:F137 F14:F18" xr:uid="{A9F6A76A-5E70-D342-AD22-039E55C03A07}">
      <formula1>$J$2:$J$6</formula1>
      <formula2>0</formula2>
    </dataValidation>
  </dataValidations>
  <hyperlinks>
    <hyperlink ref="H9" location="TestData!A1" display="TestData" xr:uid="{A131E294-A23B-8949-B111-998782428E46}"/>
  </hyperlinks>
  <pageMargins left="0.74791666666666667" right="0.25" top="0.75" bottom="0.98402777777777772" header="0.5" footer="0.5"/>
  <pageSetup paperSize="9" firstPageNumber="0" orientation="landscape" horizontalDpi="300" verticalDpi="300"/>
  <headerFooter alignWithMargins="0">
    <oddHeader>&amp;LFacilitate_Test Case\Company&amp;Rv1.0</oddHeader>
    <oddFooter>&amp;L&amp;"Tahoma,Regular"&amp;8 02ae-BM/PM/HDCV/FSOFT v2/0&amp;C&amp;"Tahoma,Regular"&amp;10Internal use&amp;R&amp;"Tahoma,Regular"&amp;8&amp;P/&amp;N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DE56-4F34-3847-9DE3-3FE1ACFF2F2A}">
  <sheetPr>
    <pageSetUpPr fitToPage="1"/>
  </sheetPr>
  <dimension ref="A1:D12"/>
  <sheetViews>
    <sheetView workbookViewId="0"/>
  </sheetViews>
  <sheetFormatPr defaultColWidth="10.875" defaultRowHeight="20.25" x14ac:dyDescent="0.3"/>
  <cols>
    <col min="1" max="1" width="22.875" style="114" customWidth="1"/>
    <col min="2" max="2" width="23.875" style="114" customWidth="1"/>
    <col min="3" max="3" width="60.625" style="114" customWidth="1"/>
    <col min="4" max="4" width="102.25" style="114" customWidth="1"/>
    <col min="5" max="16384" width="10.875" style="114"/>
  </cols>
  <sheetData>
    <row r="1" spans="1:4" x14ac:dyDescent="0.3">
      <c r="A1" s="115" t="s">
        <v>59</v>
      </c>
      <c r="B1" s="115" t="s">
        <v>94</v>
      </c>
      <c r="C1" s="116" t="s">
        <v>23</v>
      </c>
      <c r="D1" s="117" t="s">
        <v>95</v>
      </c>
    </row>
    <row r="2" spans="1:4" x14ac:dyDescent="0.3">
      <c r="A2" s="118" t="s">
        <v>57</v>
      </c>
      <c r="B2" s="118" t="s">
        <v>67</v>
      </c>
      <c r="C2" s="119" t="s">
        <v>96</v>
      </c>
      <c r="D2" s="120" t="s">
        <v>140</v>
      </c>
    </row>
    <row r="3" spans="1:4" x14ac:dyDescent="0.3">
      <c r="A3" s="118" t="s">
        <v>58</v>
      </c>
      <c r="B3" s="118" t="s">
        <v>71</v>
      </c>
      <c r="C3" s="119" t="s">
        <v>97</v>
      </c>
      <c r="D3" s="120" t="s">
        <v>141</v>
      </c>
    </row>
    <row r="4" spans="1:4" x14ac:dyDescent="0.3">
      <c r="A4" s="118" t="s">
        <v>60</v>
      </c>
      <c r="B4" s="118" t="s">
        <v>77</v>
      </c>
      <c r="C4" s="119" t="s">
        <v>98</v>
      </c>
      <c r="D4" s="120" t="s">
        <v>142</v>
      </c>
    </row>
    <row r="5" spans="1:4" x14ac:dyDescent="0.3">
      <c r="A5" s="118" t="s">
        <v>61</v>
      </c>
      <c r="B5" s="118" t="s">
        <v>80</v>
      </c>
      <c r="C5" s="119" t="s">
        <v>99</v>
      </c>
      <c r="D5" s="120" t="s">
        <v>143</v>
      </c>
    </row>
    <row r="6" spans="1:4" x14ac:dyDescent="0.3">
      <c r="A6" s="118" t="s">
        <v>62</v>
      </c>
      <c r="B6" s="118" t="s">
        <v>87</v>
      </c>
      <c r="C6" s="119" t="s">
        <v>100</v>
      </c>
      <c r="D6" s="120" t="s">
        <v>109</v>
      </c>
    </row>
    <row r="7" spans="1:4" x14ac:dyDescent="0.3">
      <c r="A7" s="118" t="s">
        <v>63</v>
      </c>
      <c r="B7" s="118" t="s">
        <v>83</v>
      </c>
      <c r="C7" s="119" t="s">
        <v>101</v>
      </c>
      <c r="D7" s="120"/>
    </row>
    <row r="8" spans="1:4" x14ac:dyDescent="0.3">
      <c r="A8" s="118" t="s">
        <v>64</v>
      </c>
      <c r="B8" s="118" t="s">
        <v>88</v>
      </c>
      <c r="C8" s="119" t="s">
        <v>125</v>
      </c>
      <c r="D8" s="120" t="s">
        <v>139</v>
      </c>
    </row>
    <row r="9" spans="1:4" x14ac:dyDescent="0.3">
      <c r="A9" s="118" t="s">
        <v>65</v>
      </c>
      <c r="B9" s="118" t="s">
        <v>89</v>
      </c>
      <c r="C9" s="114" t="s">
        <v>126</v>
      </c>
      <c r="D9" s="114" t="s">
        <v>35</v>
      </c>
    </row>
    <row r="10" spans="1:4" x14ac:dyDescent="0.3">
      <c r="A10" s="118" t="s">
        <v>122</v>
      </c>
      <c r="B10" s="118" t="s">
        <v>113</v>
      </c>
      <c r="C10" s="119" t="s">
        <v>102</v>
      </c>
      <c r="D10" s="120" t="s">
        <v>103</v>
      </c>
    </row>
    <row r="11" spans="1:4" x14ac:dyDescent="0.3">
      <c r="A11" s="118" t="s">
        <v>124</v>
      </c>
      <c r="B11" s="118" t="s">
        <v>118</v>
      </c>
      <c r="C11" s="122" t="s">
        <v>127</v>
      </c>
      <c r="D11" s="122" t="s">
        <v>138</v>
      </c>
    </row>
    <row r="12" spans="1:4" x14ac:dyDescent="0.3">
      <c r="B12" s="118"/>
    </row>
  </sheetData>
  <phoneticPr fontId="23" type="noConversion"/>
  <pageMargins left="0.7" right="0.7" top="0.75" bottom="0.75" header="0.3" footer="0.3"/>
  <pageSetup paperSize="9" scale="44"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6199-8AF6-B940-8B43-002AEC695EDA}">
  <dimension ref="A1:H17"/>
  <sheetViews>
    <sheetView zoomScale="150" workbookViewId="0">
      <selection activeCell="E24" sqref="E24"/>
    </sheetView>
  </sheetViews>
  <sheetFormatPr defaultColWidth="9" defaultRowHeight="12.75" x14ac:dyDescent="0.2"/>
  <cols>
    <col min="1" max="1" width="9" style="8"/>
    <col min="2" max="2" width="13.5" style="8" customWidth="1"/>
    <col min="3" max="3" width="19.375" style="8" customWidth="1"/>
    <col min="4" max="7" width="9" style="8"/>
    <col min="8" max="9" width="33.125" style="8" customWidth="1"/>
    <col min="10" max="16384" width="9" style="8"/>
  </cols>
  <sheetData>
    <row r="1" spans="1:8" ht="25.5" customHeight="1" x14ac:dyDescent="0.35">
      <c r="B1" s="143" t="s">
        <v>43</v>
      </c>
      <c r="C1" s="143"/>
      <c r="D1" s="143"/>
      <c r="E1" s="143"/>
      <c r="F1" s="143"/>
      <c r="G1" s="143"/>
      <c r="H1" s="143"/>
    </row>
    <row r="2" spans="1:8" ht="14.25" customHeight="1" x14ac:dyDescent="0.2">
      <c r="A2" s="79"/>
      <c r="B2" s="79"/>
      <c r="C2" s="80"/>
      <c r="D2" s="80"/>
      <c r="E2" s="80"/>
      <c r="F2" s="80"/>
      <c r="G2" s="80"/>
      <c r="H2" s="81"/>
    </row>
    <row r="3" spans="1:8" ht="12" customHeight="1" x14ac:dyDescent="0.2">
      <c r="B3" s="11" t="s">
        <v>1</v>
      </c>
      <c r="C3" s="130" t="s">
        <v>2</v>
      </c>
      <c r="D3" s="130"/>
      <c r="E3" s="141" t="s">
        <v>3</v>
      </c>
      <c r="F3" s="141"/>
      <c r="G3" s="82"/>
      <c r="H3" s="83"/>
    </row>
    <row r="4" spans="1:8" ht="12" customHeight="1" x14ac:dyDescent="0.2">
      <c r="B4" s="11" t="s">
        <v>4</v>
      </c>
      <c r="C4" s="130" t="s">
        <v>5</v>
      </c>
      <c r="D4" s="130"/>
      <c r="E4" s="141" t="s">
        <v>6</v>
      </c>
      <c r="F4" s="141"/>
      <c r="G4" s="82"/>
      <c r="H4" s="83"/>
    </row>
    <row r="5" spans="1:8" ht="12" customHeight="1" x14ac:dyDescent="0.2">
      <c r="B5" s="84" t="s">
        <v>7</v>
      </c>
      <c r="C5" s="130" t="str">
        <f>C4&amp;"_"&amp;"Test Report"&amp;"_"&amp;"vx.x"</f>
        <v>&lt;Project Code&gt;_Test Report_vx.x</v>
      </c>
      <c r="D5" s="130"/>
      <c r="E5" s="141" t="s">
        <v>8</v>
      </c>
      <c r="F5" s="141"/>
      <c r="G5" s="82"/>
      <c r="H5" s="85" t="s">
        <v>44</v>
      </c>
    </row>
    <row r="6" spans="1:8" ht="21.75" customHeight="1" x14ac:dyDescent="0.2">
      <c r="A6" s="79"/>
      <c r="B6" s="84" t="s">
        <v>45</v>
      </c>
      <c r="C6" s="142" t="s">
        <v>46</v>
      </c>
      <c r="D6" s="142"/>
      <c r="E6" s="142"/>
      <c r="F6" s="142"/>
      <c r="G6" s="142"/>
      <c r="H6" s="142"/>
    </row>
    <row r="7" spans="1:8" ht="14.25" customHeight="1" x14ac:dyDescent="0.2">
      <c r="A7" s="79"/>
      <c r="B7" s="13"/>
      <c r="C7" s="86"/>
      <c r="D7" s="80"/>
      <c r="E7" s="80"/>
      <c r="F7" s="80"/>
      <c r="G7" s="80"/>
      <c r="H7" s="81"/>
    </row>
    <row r="8" spans="1:8" x14ac:dyDescent="0.2">
      <c r="B8" s="13"/>
      <c r="C8" s="86"/>
      <c r="D8" s="80"/>
      <c r="E8" s="80"/>
      <c r="F8" s="80"/>
      <c r="G8" s="80"/>
      <c r="H8" s="81"/>
    </row>
    <row r="10" spans="1:8" x14ac:dyDescent="0.2">
      <c r="A10" s="87"/>
      <c r="B10" s="88" t="s">
        <v>20</v>
      </c>
      <c r="C10" s="89" t="s">
        <v>47</v>
      </c>
      <c r="D10" s="90" t="s">
        <v>29</v>
      </c>
      <c r="E10" s="89" t="s">
        <v>32</v>
      </c>
      <c r="F10" s="89" t="s">
        <v>34</v>
      </c>
      <c r="G10" s="91" t="s">
        <v>35</v>
      </c>
      <c r="H10" s="92" t="s">
        <v>48</v>
      </c>
    </row>
    <row r="11" spans="1:8" x14ac:dyDescent="0.2">
      <c r="A11" s="87"/>
      <c r="B11" s="93">
        <v>1</v>
      </c>
      <c r="C11" s="94" t="str">
        <f>Module1!B2</f>
        <v xml:space="preserve">Module1 </v>
      </c>
      <c r="D11" s="95">
        <f>Module1!A6</f>
        <v>4</v>
      </c>
      <c r="E11" s="95">
        <f>Module1!B6</f>
        <v>1</v>
      </c>
      <c r="F11" s="95">
        <f>Module1!C6</f>
        <v>0</v>
      </c>
      <c r="G11" s="96">
        <f>Module1!D6</f>
        <v>0</v>
      </c>
      <c r="H11" s="97">
        <f>Module1!E6</f>
        <v>5</v>
      </c>
    </row>
    <row r="12" spans="1:8" x14ac:dyDescent="0.2">
      <c r="A12" s="87"/>
      <c r="B12" s="93">
        <v>2</v>
      </c>
      <c r="C12" s="94" t="s">
        <v>26</v>
      </c>
      <c r="D12" s="95">
        <f>Module2!A6</f>
        <v>2</v>
      </c>
      <c r="E12" s="95">
        <f>Module2!B6</f>
        <v>0</v>
      </c>
      <c r="F12" s="95">
        <f>Module2!C6</f>
        <v>0</v>
      </c>
      <c r="G12" s="95">
        <f>Module2!D6</f>
        <v>3</v>
      </c>
      <c r="H12" s="97">
        <f>Module2!E6</f>
        <v>5</v>
      </c>
    </row>
    <row r="13" spans="1:8" x14ac:dyDescent="0.2">
      <c r="A13" s="87"/>
      <c r="B13" s="93"/>
      <c r="C13" s="94"/>
      <c r="D13" s="95"/>
      <c r="E13" s="95"/>
      <c r="F13" s="95"/>
      <c r="G13" s="96"/>
      <c r="H13" s="97"/>
    </row>
    <row r="14" spans="1:8" x14ac:dyDescent="0.2">
      <c r="A14" s="87"/>
      <c r="B14" s="98"/>
      <c r="C14" s="99" t="s">
        <v>49</v>
      </c>
      <c r="D14" s="100">
        <f>SUM(D9:D13)</f>
        <v>6</v>
      </c>
      <c r="E14" s="100">
        <f>SUM(E9:E13)</f>
        <v>1</v>
      </c>
      <c r="F14" s="100">
        <f>SUM(F9:F13)</f>
        <v>0</v>
      </c>
      <c r="G14" s="100">
        <f>SUM(G9:G13)</f>
        <v>3</v>
      </c>
      <c r="H14" s="101">
        <f>SUM(H9:H13)</f>
        <v>10</v>
      </c>
    </row>
    <row r="15" spans="1:8" x14ac:dyDescent="0.2">
      <c r="B15" s="102"/>
      <c r="D15" s="103"/>
      <c r="E15" s="104"/>
      <c r="F15" s="104"/>
      <c r="G15" s="104"/>
      <c r="H15" s="104"/>
    </row>
    <row r="16" spans="1:8" x14ac:dyDescent="0.2">
      <c r="C16" s="105" t="s">
        <v>50</v>
      </c>
      <c r="E16" s="106">
        <f>(D14+E14)*100/(H14-G14)</f>
        <v>100</v>
      </c>
      <c r="F16" s="8" t="s">
        <v>51</v>
      </c>
      <c r="H16" s="75"/>
    </row>
    <row r="17" spans="3:8" x14ac:dyDescent="0.2">
      <c r="C17" s="105" t="s">
        <v>52</v>
      </c>
      <c r="E17" s="106">
        <f>D14*100/(H14-G14)</f>
        <v>85.714285714285708</v>
      </c>
      <c r="F17" s="8" t="s">
        <v>51</v>
      </c>
      <c r="H17" s="75"/>
    </row>
  </sheetData>
  <mergeCells count="8">
    <mergeCell ref="C5:D5"/>
    <mergeCell ref="E5:F5"/>
    <mergeCell ref="C6:H6"/>
    <mergeCell ref="B1:H1"/>
    <mergeCell ref="C3:D3"/>
    <mergeCell ref="E3:F3"/>
    <mergeCell ref="C4:D4"/>
    <mergeCell ref="E4:F4"/>
  </mergeCells>
  <phoneticPr fontId="0" type="noConversion"/>
  <pageMargins left="0.74791666666666667" right="0.74791666666666667" top="0.98402777777777783" bottom="0.98402777777777772" header="0.51180555555555562" footer="0.5"/>
  <pageSetup firstPageNumber="0" orientation="landscape" horizontalDpi="300" verticalDpi="300"/>
  <headerFooter alignWithMargins="0">
    <oddFooter>&amp;L&amp;"Tahoma,Regular"&amp;8 02ae-BM/PM/HDCV/FSOFT v2/0&amp;C&amp;"tahoma,Regular"&amp;8Internal use&amp;R&amp;"Tahoma,Regular"&amp;8&amp;P/&amp;N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A2A741C5885C41AB9A358CCBEA8A85" ma:contentTypeVersion="4" ma:contentTypeDescription="Create a new document." ma:contentTypeScope="" ma:versionID="b08c537a49adf1f0264621696145d4e8">
  <xsd:schema xmlns:xsd="http://www.w3.org/2001/XMLSchema" xmlns:p="http://schemas.microsoft.com/office/2006/metadata/properties" xmlns:ns1="http://schemas.microsoft.com/sharepoint/v3" xmlns:ns2="41A7A25E-88C5-415C-AB9A-358CCBEA8A85" xmlns:ns3="cd6d2771-e08b-42a3-90f8-eca630337659" targetNamespace="http://schemas.microsoft.com/office/2006/metadata/properties" ma:root="true" ma:fieldsID="79edc66073723f43766a972d30b274e4" ns1:_="" ns2:_="" ns3:_="">
    <xsd:import namespace="http://schemas.microsoft.com/sharepoint/v3"/>
    <xsd:import namespace="41A7A25E-88C5-415C-AB9A-358CCBEA8A85"/>
    <xsd:import namespace="cd6d2771-e08b-42a3-90f8-eca630337659"/>
    <xsd:element name="properties">
      <xsd:complexType>
        <xsd:sequence>
          <xsd:element name="documentManagement">
            <xsd:complexType>
              <xsd:all>
                <xsd:element ref="ns1:_ModerationComments" minOccurs="0"/>
                <xsd:element ref="ns1:File_x0020_Type" minOccurs="0"/>
                <xsd:element ref="ns1:HTML_x0020_File_x0020_Type" minOccurs="0"/>
                <xsd:element ref="ns1:_SourceUrl" minOccurs="0"/>
                <xsd:element ref="ns1:_SharedFileIndex" minOccurs="0"/>
                <xsd:element ref="ns2:Priority" minOccurs="0"/>
                <xsd:element ref="ns1:ContentTypeId" minOccurs="0"/>
                <xsd:element ref="ns1:TemplateUrl" minOccurs="0"/>
                <xsd:element ref="ns1:xd_ProgID" minOccurs="0"/>
                <xsd:element ref="ns1:xd_Signature" minOccurs="0"/>
                <xsd:element ref="ns3:Number_x0020_Of_x0020_Viewer" minOccurs="0"/>
                <xsd:element ref="ns1:ID" minOccurs="0"/>
                <xsd:element ref="ns1:Author" minOccurs="0"/>
                <xsd:element ref="ns1:Editor" minOccurs="0"/>
                <xsd:element ref="ns1:_HasCopyDestinations" minOccurs="0"/>
                <xsd:element ref="ns1:_CopySource" minOccurs="0"/>
                <xsd:element ref="ns1:_ModerationStatu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CheckedOutUserId" minOccurs="0"/>
                <xsd:element ref="ns1:IsCheckedoutToLocal" minOccurs="0"/>
                <xsd:element ref="ns1:CheckoutUser" minOccurs="0"/>
                <xsd:element ref="ns1:UniqueId" minOccurs="0"/>
                <xsd:element ref="ns1:ProgId" minOccurs="0"/>
                <xsd:element ref="ns1:ScopeId" minOccurs="0"/>
                <xsd:element ref="ns1:VirusStatus" minOccurs="0"/>
                <xsd:element ref="ns1:CheckedOutTitle" minOccurs="0"/>
                <xsd:element ref="ns1:_CheckinComment" minOccurs="0"/>
                <xsd:element ref="ns1:MetaInfo" minOccurs="0"/>
                <xsd:element ref="ns1:_Level" minOccurs="0"/>
                <xsd:element ref="ns1:_IsCurrentVersion"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_ModerationComments" ma:index="0" nillable="true" ma:displayName="Approver Comments" ma:hidden="true" ma:internalName="_ModerationComments" ma:readOnly="true">
      <xsd:simpleType>
        <xsd:restriction base="dms:Note"/>
      </xsd:simpleType>
    </xsd:element>
    <xsd:element name="File_x0020_Type" ma:index="4" nillable="true" ma:displayName="File Type" ma:hidden="true" ma:internalName="File_x0020_Type" ma:readOnly="true">
      <xsd:simpleType>
        <xsd:restriction base="dms:Text"/>
      </xsd:simpleType>
    </xsd:element>
    <xsd:element name="HTML_x0020_File_x0020_Type" ma:index="5" nillable="true" ma:displayName="HTML File Type" ma:hidden="true" ma:internalName="HTML_x0020_File_x0020_Type" ma:readOnly="true">
      <xsd:simpleType>
        <xsd:restriction base="dms:Text"/>
      </xsd:simpleType>
    </xsd:element>
    <xsd:element name="_SourceUrl" ma:index="6" nillable="true" ma:displayName="Source Url" ma:hidden="true" ma:internalName="_SourceUrl">
      <xsd:simpleType>
        <xsd:restriction base="dms:Text"/>
      </xsd:simpleType>
    </xsd:element>
    <xsd:element name="_SharedFileIndex" ma:index="7" nillable="true" ma:displayName="Shared File Index" ma:hidden="true" ma:internalName="_SharedFileIndex">
      <xsd:simpleType>
        <xsd:restriction base="dms:Text"/>
      </xsd:simpleType>
    </xsd:element>
    <xsd:element name="ContentTypeId" ma:index="10" nillable="true" ma:displayName="Content Type ID" ma:hidden="true" ma:internalName="ContentTypeId" ma:readOnly="true">
      <xsd:simpleType>
        <xsd:restriction base="dms:Unknown"/>
      </xsd:simpleType>
    </xsd:element>
    <xsd:element name="TemplateUrl" ma:index="11" nillable="true" ma:displayName="Template Link" ma:hidden="true" ma:internalName="TemplateUrl">
      <xsd:simpleType>
        <xsd:restriction base="dms:Text"/>
      </xsd:simpleType>
    </xsd:element>
    <xsd:element name="xd_ProgID" ma:index="12" nillable="true" ma:displayName="Html File Link" ma:hidden="true" ma:internalName="xd_ProgID">
      <xsd:simpleType>
        <xsd:restriction base="dms:Text"/>
      </xsd:simpleType>
    </xsd:element>
    <xsd:element name="xd_Signature" ma:index="13" nillable="true" ma:displayName="Is Signed" ma:hidden="true" ma:internalName="xd_Signature" ma:readOnly="true">
      <xsd:simpleType>
        <xsd:restriction base="dms:Boolean"/>
      </xsd:simpleType>
    </xsd:element>
    <xsd:element name="ID" ma:index="15" nillable="true" ma:displayName="ID" ma:internalName="ID" ma:readOnly="true">
      <xsd:simpleType>
        <xsd:restriction base="dms:Unknown"/>
      </xsd:simpleType>
    </xsd:element>
    <xsd:element name="Author" ma:index="18" nillable="true" ma:displayName="Created By"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20" nillable="true" ma:displayName="Modified By"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21" nillable="true" ma:displayName="Has Copy Destinations" ma:hidden="true" ma:internalName="_HasCopyDestinations" ma:readOnly="true">
      <xsd:simpleType>
        <xsd:restriction base="dms:Boolean"/>
      </xsd:simpleType>
    </xsd:element>
    <xsd:element name="_CopySource" ma:index="22" nillable="true" ma:displayName="Copy Source" ma:internalName="_CopySource" ma:readOnly="true">
      <xsd:simpleType>
        <xsd:restriction base="dms:Text"/>
      </xsd:simpleType>
    </xsd:element>
    <xsd:element name="_ModerationStatus" ma:index="23" nillable="true" ma:displayName="Approval Status" ma:default="0" ma:hidden="true" ma:internalName="_ModerationStatus" ma:readOnly="true">
      <xsd:simpleType>
        <xsd:restriction base="dms:Unknown"/>
      </xsd:simpleType>
    </xsd:element>
    <xsd:element name="FileRef" ma:index="24" nillable="true" ma:displayName="URL Path" ma:hidden="true" ma:list="Docs" ma:internalName="FileRef" ma:readOnly="true" ma:showField="FullUrl">
      <xsd:simpleType>
        <xsd:restriction base="dms:Lookup"/>
      </xsd:simpleType>
    </xsd:element>
    <xsd:element name="FileDirRef" ma:index="25" nillable="true" ma:displayName="Path" ma:hidden="true" ma:list="Docs" ma:internalName="FileDirRef" ma:readOnly="true" ma:showField="DirName">
      <xsd:simpleType>
        <xsd:restriction base="dms:Lookup"/>
      </xsd:simpleType>
    </xsd:element>
    <xsd:element name="Last_x0020_Modified" ma:index="26" nillable="true" ma:displayName="Modified" ma:format="TRUE" ma:hidden="true" ma:list="Docs" ma:internalName="Last_x0020_Modified" ma:readOnly="true" ma:showField="TimeLastModified">
      <xsd:simpleType>
        <xsd:restriction base="dms:Lookup"/>
      </xsd:simpleType>
    </xsd:element>
    <xsd:element name="Created_x0020_Date" ma:index="27" nillable="true" ma:displayName="Created" ma:format="TRUE" ma:hidden="true" ma:list="Docs" ma:internalName="Created_x0020_Date" ma:readOnly="true" ma:showField="TimeCreated">
      <xsd:simpleType>
        <xsd:restriction base="dms:Lookup"/>
      </xsd:simpleType>
    </xsd:element>
    <xsd:element name="File_x0020_Size" ma:index="28" nillable="true" ma:displayName="File Size" ma:format="TRUE" ma:hidden="true" ma:list="Docs" ma:internalName="File_x0020_Size" ma:readOnly="true" ma:showField="SizeInKB">
      <xsd:simpleType>
        <xsd:restriction base="dms:Lookup"/>
      </xsd:simpleType>
    </xsd:element>
    <xsd:element name="FSObjType" ma:index="29" nillable="true" ma:displayName="Item Type" ma:hidden="true" ma:list="Docs" ma:internalName="FSObjType" ma:readOnly="true" ma:showField="FSType">
      <xsd:simpleType>
        <xsd:restriction base="dms:Lookup"/>
      </xsd:simpleType>
    </xsd:element>
    <xsd:element name="CheckedOutUserId" ma:index="31" nillable="true" ma:displayName="ID of the User who has the item Checked Out" ma:hidden="true" ma:list="Docs" ma:internalName="CheckedOutUserId" ma:readOnly="true" ma:showField="CheckoutUserId">
      <xsd:simpleType>
        <xsd:restriction base="dms:Lookup"/>
      </xsd:simpleType>
    </xsd:element>
    <xsd:element name="IsCheckedoutToLocal" ma:index="32" nillable="true" ma:displayName="Is Checked out to local" ma:hidden="true" ma:list="Docs" ma:internalName="IsCheckedoutToLocal" ma:readOnly="true" ma:showField="IsCheckoutToLocal">
      <xsd:simpleType>
        <xsd:restriction base="dms:Lookup"/>
      </xsd:simpleType>
    </xsd:element>
    <xsd:element name="CheckoutUser" ma:index="33" nillable="true" ma:displayName="Checked Out T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34" nillable="true" ma:displayName="Unique Id" ma:hidden="true" ma:list="Docs" ma:internalName="UniqueId" ma:readOnly="true" ma:showField="UniqueId">
      <xsd:simpleType>
        <xsd:restriction base="dms:Lookup"/>
      </xsd:simpleType>
    </xsd:element>
    <xsd:element name="ProgId" ma:index="35" nillable="true" ma:displayName="ProgId" ma:hidden="true" ma:list="Docs" ma:internalName="ProgId" ma:readOnly="true" ma:showField="ProgId">
      <xsd:simpleType>
        <xsd:restriction base="dms:Lookup"/>
      </xsd:simpleType>
    </xsd:element>
    <xsd:element name="ScopeId" ma:index="36" nillable="true" ma:displayName="ScopeId" ma:hidden="true" ma:list="Docs" ma:internalName="ScopeId" ma:readOnly="true" ma:showField="ScopeId">
      <xsd:simpleType>
        <xsd:restriction base="dms:Lookup"/>
      </xsd:simpleType>
    </xsd:element>
    <xsd:element name="VirusStatus" ma:index="37" nillable="true" ma:displayName="Virus Status" ma:format="TRUE" ma:hidden="true" ma:list="Docs" ma:internalName="VirusStatus" ma:readOnly="true" ma:showField="Size">
      <xsd:simpleType>
        <xsd:restriction base="dms:Lookup"/>
      </xsd:simpleType>
    </xsd:element>
    <xsd:element name="CheckedOutTitle" ma:index="38" nillable="true" ma:displayName="Checked Out To" ma:format="TRUE" ma:hidden="true" ma:list="Docs" ma:internalName="CheckedOutTitle" ma:readOnly="true" ma:showField="CheckedOutTitle">
      <xsd:simpleType>
        <xsd:restriction base="dms:Lookup"/>
      </xsd:simpleType>
    </xsd:element>
    <xsd:element name="_CheckinComment" ma:index="39" nillable="true" ma:displayName="Check In Comment" ma:format="TRUE" ma:list="Docs" ma:internalName="_CheckinComment" ma:readOnly="true" ma:showField="CheckinComment">
      <xsd:simpleType>
        <xsd:restriction base="dms:Lookup"/>
      </xsd:simpleType>
    </xsd:element>
    <xsd:element name="MetaInfo" ma:index="50" nillable="true" ma:displayName="Property Bag" ma:hidden="true" ma:list="Docs" ma:internalName="MetaInfo" ma:showField="MetaInfo">
      <xsd:simpleType>
        <xsd:restriction base="dms:Lookup"/>
      </xsd:simpleType>
    </xsd:element>
    <xsd:element name="_Level" ma:index="51" nillable="true" ma:displayName="Level" ma:hidden="true" ma:internalName="_Level" ma:readOnly="true">
      <xsd:simpleType>
        <xsd:restriction base="dms:Unknown"/>
      </xsd:simpleType>
    </xsd:element>
    <xsd:element name="_IsCurrentVersion" ma:index="52" nillable="true" ma:displayName="Is Current Version" ma:hidden="true" ma:internalName="_IsCurrentVersion" ma:readOnly="true">
      <xsd:simpleType>
        <xsd:restriction base="dms:Boolean"/>
      </xsd:simpleType>
    </xsd:element>
    <xsd:element name="owshiddenversion" ma:index="56" nillable="true" ma:displayName="owshiddenversion" ma:hidden="true" ma:internalName="owshiddenversion" ma:readOnly="true">
      <xsd:simpleType>
        <xsd:restriction base="dms:Unknown"/>
      </xsd:simpleType>
    </xsd:element>
    <xsd:element name="_UIVersion" ma:index="57" nillable="true" ma:displayName="UI Version" ma:hidden="true" ma:internalName="_UIVersion" ma:readOnly="true">
      <xsd:simpleType>
        <xsd:restriction base="dms:Unknown"/>
      </xsd:simpleType>
    </xsd:element>
    <xsd:element name="_UIVersionString" ma:index="58" nillable="true" ma:displayName="Version" ma:internalName="_UIVersionString" ma:readOnly="true">
      <xsd:simpleType>
        <xsd:restriction base="dms:Text"/>
      </xsd:simpleType>
    </xsd:element>
    <xsd:element name="InstanceID" ma:index="59" nillable="true" ma:displayName="Instance ID" ma:hidden="true" ma:internalName="InstanceID" ma:readOnly="true">
      <xsd:simpleType>
        <xsd:restriction base="dms:Unknown"/>
      </xsd:simpleType>
    </xsd:element>
    <xsd:element name="Order" ma:index="60" nillable="true" ma:displayName="Order" ma:hidden="true" ma:internalName="Order">
      <xsd:simpleType>
        <xsd:restriction base="dms:Number"/>
      </xsd:simpleType>
    </xsd:element>
    <xsd:element name="GUID" ma:index="61" nillable="true" ma:displayName="GUID" ma:hidden="true" ma:internalName="GUID" ma:readOnly="true">
      <xsd:simpleType>
        <xsd:restriction base="dms:Unknown"/>
      </xsd:simpleType>
    </xsd:element>
    <xsd:element name="WorkflowVersion" ma:index="62" nillable="true" ma:displayName="Workflow Version" ma:hidden="true" ma:internalName="WorkflowVersion" ma:readOnly="true">
      <xsd:simpleType>
        <xsd:restriction base="dms:Unknown"/>
      </xsd:simpleType>
    </xsd:element>
    <xsd:element name="WorkflowInstanceID" ma:index="63" nillable="true" ma:displayName="Workflow Instance ID" ma:hidden="true" ma:internalName="WorkflowInstanceID" ma:readOnly="true">
      <xsd:simpleType>
        <xsd:restriction base="dms:Unknown"/>
      </xsd:simpleType>
    </xsd:element>
    <xsd:element name="ParentVersionString" ma:index="64" nillable="true" ma:displayName="Source Version (Converted Document)" ma:hidden="true" ma:list="Docs" ma:internalName="ParentVersionString" ma:readOnly="true" ma:showField="ParentVersionString">
      <xsd:simpleType>
        <xsd:restriction base="dms:Lookup"/>
      </xsd:simpleType>
    </xsd:element>
    <xsd:element name="ParentLeafName" ma:index="65" nillable="true" ma:displayName="Source Name (Converted Document)" ma:hidden="true" ma:list="Docs" ma:internalName="ParentLeafName" ma:readOnly="true" ma:showField="ParentLeafName">
      <xsd:simpleType>
        <xsd:restriction base="dms:Lookup"/>
      </xsd:simpleType>
    </xsd:element>
  </xsd:schema>
  <xsd:schema xmlns:xsd="http://www.w3.org/2001/XMLSchema" xmlns:dms="http://schemas.microsoft.com/office/2006/documentManagement/types" targetNamespace="41A7A25E-88C5-415C-AB9A-358CCBEA8A85" elementFormDefault="qualified">
    <xsd:import namespace="http://schemas.microsoft.com/office/2006/documentManagement/types"/>
    <xsd:element name="Priority" ma:index="9" nillable="true" ma:displayName="Priority" ma:internalName="Priority">
      <xsd:simpleType>
        <xsd:restriction base="dms:Number"/>
      </xsd:simpleType>
    </xsd:element>
  </xsd:schema>
  <xsd:schema xmlns:xsd="http://www.w3.org/2001/XMLSchema" xmlns:dms="http://schemas.microsoft.com/office/2006/documentManagement/types" targetNamespace="cd6d2771-e08b-42a3-90f8-eca630337659" elementFormDefault="qualified">
    <xsd:import namespace="http://schemas.microsoft.com/office/2006/documentManagement/types"/>
    <xsd:element name="Number_x0020_Of_x0020_Viewer" ma:index="14" nillable="true" ma:displayName="Number Of Viewer" ma:default="0" ma:internalName="Number_x0020_Of_x0020_Viewe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ma:readOnly="tru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CAE63D-5380-40ED-A43E-1567E1C20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A7A25E-88C5-415C-AB9A-358CCBEA8A85"/>
    <ds:schemaRef ds:uri="cd6d2771-e08b-42a3-90f8-eca63033765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85ED280E-F51D-42B1-B363-4EC477D089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List</vt:lpstr>
      <vt:lpstr>Module1</vt:lpstr>
      <vt:lpstr>Module2</vt:lpstr>
      <vt:lpstr>TestData</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pc</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ACER</cp:lastModifiedBy>
  <cp:lastPrinted>2010-11-12T10:33:20Z</cp:lastPrinted>
  <dcterms:created xsi:type="dcterms:W3CDTF">2011-06-02T09:10:50Z</dcterms:created>
  <dcterms:modified xsi:type="dcterms:W3CDTF">2025-12-18T14:07:34Z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ies>
</file>