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Admin\Downloads\c6\12.12\đang làm\Templates\"/>
    </mc:Choice>
  </mc:AlternateContent>
  <bookViews>
    <workbookView xWindow="0" yWindow="0" windowWidth="20490" windowHeight="7635" tabRatio="821" activeTab="1"/>
  </bookViews>
  <sheets>
    <sheet name="Cover" sheetId="1" r:id="rId1"/>
    <sheet name="Test case List" sheetId="2" r:id="rId2"/>
    <sheet name="Security test case" sheetId="7" r:id="rId3"/>
    <sheet name="Test Report" sheetId="5" r:id="rId4"/>
  </sheets>
  <externalReferences>
    <externalReference r:id="rId5"/>
  </externalReferences>
  <definedNames>
    <definedName name="_xlnm._FilterDatabase" localSheetId="2" hidden="1">'Security test case'!$A$8:$H$15</definedName>
    <definedName name="ACTION">#REF!</definedName>
  </definedNames>
  <calcPr calcId="162913"/>
</workbook>
</file>

<file path=xl/calcChain.xml><?xml version="1.0" encoding="utf-8"?>
<calcChain xmlns="http://schemas.openxmlformats.org/spreadsheetml/2006/main">
  <c r="D11" i="5" l="1"/>
  <c r="E11" i="5"/>
  <c r="G11" i="5"/>
  <c r="F11" i="5"/>
  <c r="H11" i="5"/>
  <c r="C11" i="5"/>
  <c r="C6" i="1" l="1"/>
  <c r="D3" i="2"/>
  <c r="D4" i="2"/>
  <c r="A6" i="7"/>
  <c r="B6" i="7"/>
  <c r="C6" i="7"/>
  <c r="D6" i="7"/>
  <c r="E6" i="7"/>
  <c r="C5" i="5"/>
  <c r="D13" i="5"/>
  <c r="G13" i="5"/>
  <c r="H13" i="5"/>
  <c r="E13" i="5"/>
  <c r="F13" i="5"/>
  <c r="E16" i="5" l="1"/>
  <c r="E15" i="5"/>
</calcChain>
</file>

<file path=xl/comments1.xml><?xml version="1.0" encoding="utf-8"?>
<comments xmlns="http://schemas.openxmlformats.org/spreadsheetml/2006/main">
  <authors>
    <author/>
  </authors>
  <commentList>
    <comment ref="E11" authorId="0" shapeId="0">
      <text>
        <r>
          <rPr>
            <b/>
            <sz val="10"/>
            <color indexed="8"/>
            <rFont val="Times New Roman"/>
            <family val="1"/>
          </rPr>
          <t>*A</t>
        </r>
        <r>
          <rPr>
            <sz val="10"/>
            <color indexed="8"/>
            <rFont val="Times New Roman"/>
            <family val="1"/>
          </rPr>
          <t xml:space="preserve">: Add
  </t>
        </r>
        <r>
          <rPr>
            <b/>
            <sz val="10"/>
            <color indexed="8"/>
            <rFont val="Times New Roman"/>
            <family val="1"/>
          </rPr>
          <t>M</t>
        </r>
        <r>
          <rPr>
            <sz val="10"/>
            <color indexed="8"/>
            <rFont val="Times New Roman"/>
            <family val="1"/>
          </rPr>
          <t xml:space="preserve">: Modify
  </t>
        </r>
        <r>
          <rPr>
            <b/>
            <sz val="10"/>
            <color indexed="8"/>
            <rFont val="Times New Roman"/>
            <family val="1"/>
          </rPr>
          <t>D</t>
        </r>
        <r>
          <rPr>
            <sz val="10"/>
            <color indexed="8"/>
            <rFont val="Times New Roman"/>
            <family val="1"/>
          </rPr>
          <t xml:space="preserve">: Delete
</t>
        </r>
      </text>
    </comment>
  </commentList>
</comments>
</file>

<file path=xl/sharedStrings.xml><?xml version="1.0" encoding="utf-8"?>
<sst xmlns="http://schemas.openxmlformats.org/spreadsheetml/2006/main" count="101" uniqueCount="79">
  <si>
    <t>TEST CASE</t>
  </si>
  <si>
    <t>Project Name</t>
  </si>
  <si>
    <t>&lt;Project Name&gt;</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</si>
  <si>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</si>
  <si>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</si>
  <si>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</si>
  <si>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</si>
  <si>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</si>
  <si>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</si>
  <si>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</si>
  <si>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</si>
  <si>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</si>
  <si>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</si>
  <si>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</si>
  <si>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</si>
  <si>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</si>
  <si>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</si>
  <si>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&lt;List of documents which are referred in this version.&gt;</t>
  </si>
  <si>
    <t>TEST CASE LIST</t>
  </si>
  <si>
    <t>Test Environment Setup Description</t>
  </si>
  <si>
    <t>&lt;List enviroment requires in this system
1. Server
2. Database
3. Web Browser
...
&gt;</t>
  </si>
  <si>
    <t>No</t>
  </si>
  <si>
    <t>Function Name</t>
  </si>
  <si>
    <t>Sheet Name</t>
  </si>
  <si>
    <t>Description</t>
  </si>
  <si>
    <t>Pre-Condition</t>
  </si>
  <si>
    <t>Module Code</t>
  </si>
  <si>
    <t>Pass</t>
  </si>
  <si>
    <t>Test requirement</t>
  </si>
  <si>
    <t>Fail</t>
  </si>
  <si>
    <t>Tester</t>
  </si>
  <si>
    <t>Untested</t>
  </si>
  <si>
    <t>N/A</t>
  </si>
  <si>
    <t>Number of Test cases</t>
  </si>
  <si>
    <t>Untesed</t>
  </si>
  <si>
    <t>ID</t>
  </si>
  <si>
    <t>Test Case Description</t>
  </si>
  <si>
    <t>Test Case Procedure</t>
  </si>
  <si>
    <t>Expected Output</t>
  </si>
  <si>
    <t>Test data</t>
  </si>
  <si>
    <t>Result</t>
  </si>
  <si>
    <t>Module_Security</t>
  </si>
  <si>
    <t>Kiểm tra an ninh của hệ thống web</t>
  </si>
  <si>
    <t>SEC-001</t>
  </si>
  <si>
    <t>Verify NoSQL Injection on Login (Kiểm tra lỗi tiêm mã độc NoSQL)</t>
  </si>
  <si>
    <t>1. Truy cập trang Đăng nhập.
2. Tại ô Username nhập payload tấn công.
3. Tại ô Password nhập bất kỳ.
4. Bấm Login.</t>
  </si>
  <si>
    <t>Hệ thống báo "Sai tài khoản hoặc mật khẩu". KHÔNG được đăng nhập thành công (bypass) hoặc lộ lỗi hệ thống (stack trace).</t>
  </si>
  <si>
    <t>{"$ne": null}
hoặc
`admin'</t>
  </si>
  <si>
    <t>SEC-002</t>
  </si>
  <si>
    <t>Verify IDOR on Order History (Kiểm tra xem trộm đơn hàng người khác)</t>
  </si>
  <si>
    <t>1. Đăng nhập User A.
2. Vào xem chi tiết đơn hàng của mình (ví dụ ID: ORD-100).
3. Quan sát URL (ví dụ: /order/ORD-100).
4. Sửa URL thành ID của User B (/order/ORD-101).
5. Nhấn Enter.</t>
  </si>
  <si>
    <t>Hệ thống hiển thị trang lỗi 403 (Forbidden) hoặc thông báo "Bạn không có quyền xem đơn hàng này".</t>
  </si>
  <si>
    <t>User A credentials,
Order ID của User B</t>
  </si>
  <si>
    <t>SEC-003</t>
  </si>
  <si>
    <t>Verify Stored XSS in Food Review (Kiểm tra chèn mã độc vào comment)</t>
  </si>
  <si>
    <t>1. Đăng nhập User thường.
2. Chọn món "Pizza Hải Sản".
3. Vào phần bình luận, nhập mã script độc hại.
4. Bấm Gửi.
5. Admin hoặc User khác vào xem món đó.</t>
  </si>
  <si>
    <t>Bình luận hiển thị dưới dạng text thuần túy. KHÔNG hiện popup alert hoặc chuyển hướng trang web.</t>
  </si>
  <si>
    <t>&lt;script&gt;alert('Hacked')&lt;/script&gt;
hoặc
&lt;img src=x onerror=alert(1)&gt;</t>
  </si>
  <si>
    <t>SEC-004</t>
  </si>
  <si>
    <t>Verify Price Manipulation (Kiểm tra gian lận giá tiền)</t>
  </si>
  <si>
    <t>1. Chọn món "Gà Combo" giá 100k vào giỏ.
2. Bấm Thanh toán.
3. Dùng Burp Suite chặn request gửi đi (POST /api/order).
4. Sửa trường price: 100000 thành price: 1000.
5. Forward request đi.</t>
  </si>
  <si>
    <t>Server trả về lỗi 400 (Bad Request) hoặc tự tính toán lại giá dựa trên ID món ăn, KHÔNG chấp nhận giá 1000đ từ client gửi lên.</t>
  </si>
  <si>
    <t>Burp Suite Tool</t>
  </si>
  <si>
    <t>SEC-005</t>
  </si>
  <si>
    <t>Verify API Rate Limiting (Chống Spam/DDoS)</t>
  </si>
  <si>
    <t>1. Dùng tool Postman Runner.
2. Gọi API POST /api/login liên tục 100 lần trong 1 phút với sai mật khẩu.</t>
  </si>
  <si>
    <t>Sau khoảng 5-10 lần sai, API trả về lỗi 429 (Too Many Requests) và tạm khóa IP.</t>
  </si>
  <si>
    <t>Postman Collection</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</si>
  <si>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</si>
  <si>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</si>
  <si>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</si>
  <si>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</si>
  <si>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</si>
  <si>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</si>
  <si>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</si>
  <si>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</si>
  <si>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</si>
  <si>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</si>
  <si>
    <t xml:space="preserve">Web Application Security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</si>
</sst>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
  </numFmts>
  <fonts count="26">
    <font>
      <sz val="11"/>
      <name val="ＭＳ Ｐゴシック"/>
      <family val="3"/>
      <charset val="128"/>
    </font>
    <font>
      <sz val="10"/>
      <name val="Tahoma"/>
      <family val="2"/>
      <charset val="128"/>
    </font>
    <font>
      <b/>
      <sz val="20"/>
      <color indexed="8"/>
      <name val="Tahoma"/>
      <family val="2"/>
      <charset val="128"/>
    </font>
    <font>
      <b/>
      <sz val="10"/>
      <name val="Tahoma"/>
      <family val="2"/>
      <charset val="128"/>
    </font>
    <font>
      <b/>
      <sz val="10"/>
      <color indexed="60"/>
      <name val="Tahoma"/>
      <family val="2"/>
      <charset val="128"/>
    </font>
    <font>
      <i/>
      <sz val="10"/>
      <color indexed="17"/>
      <name val="Tahoma"/>
      <family val="2"/>
      <charset val="128"/>
    </font>
    <font>
      <b/>
      <sz val="10"/>
      <color indexed="9"/>
      <name val="Tahoma"/>
      <family val="2"/>
      <charset val="128"/>
    </font>
    <font>
      <sz val="10"/>
      <color indexed="9"/>
      <name val="Tahoma"/>
      <family val="2"/>
      <charset val="128"/>
    </font>
    <font>
      <b/>
      <sz val="10"/>
      <color indexed="12"/>
      <name val="Tahoma"/>
      <family val="2"/>
      <charset val="128"/>
    </font>
    <font>
      <sz val="10"/>
      <color indexed="8"/>
      <name val="Tahoma"/>
      <family val="2"/>
      <charset val="128"/>
    </font>
    <font>
      <sz val="10"/>
      <color indexed="10"/>
      <name val="Tahoma"/>
      <family val="2"/>
      <charset val="128"/>
    </font>
    <font>
      <b/>
      <sz val="10"/>
      <color indexed="8"/>
      <name val="Tahoma"/>
      <family val="2"/>
      <charset val="128"/>
    </font>
    <font>
      <b/>
      <sz val="10"/>
      <color indexed="10"/>
      <name val="Tahoma"/>
      <family val="2"/>
      <charset val="128"/>
    </font>
    <font>
      <sz val="10"/>
      <name val="Arial"/>
      <family val="2"/>
    </font>
    <font>
      <u/>
      <sz val="10"/>
      <color indexed="12"/>
      <name val="Tahoma"/>
      <family val="2"/>
      <charset val="128"/>
    </font>
    <font>
      <b/>
      <sz val="22"/>
      <color indexed="10"/>
      <name val="Tahoma"/>
      <family val="2"/>
      <charset val="128"/>
    </font>
    <font>
      <b/>
      <sz val="26"/>
      <color indexed="10"/>
      <name val="Tahoma"/>
      <family val="2"/>
      <charset val="128"/>
    </font>
    <font>
      <u/>
      <sz val="11"/>
      <color indexed="12"/>
      <name val="ＭＳ Ｐゴシック"/>
      <family val="3"/>
      <charset val="128"/>
    </font>
    <font>
      <sz val="9"/>
      <name val="ＭＳ ゴシック"/>
      <family val="3"/>
      <charset val="128"/>
    </font>
    <font>
      <b/>
      <sz val="10"/>
      <color indexed="8"/>
      <name val="Times New Roman"/>
      <family val="1"/>
    </font>
    <font>
      <sz val="10"/>
      <color indexed="8"/>
      <name val="Times New Roman"/>
      <family val="1"/>
    </font>
    <font>
      <sz val="11"/>
      <name val="ＭＳ Ｐゴシック"/>
      <family val="3"/>
      <charset val="128"/>
    </font>
    <font>
      <b/>
      <sz val="11"/>
      <color rgb="FF1F1F1F"/>
      <name val="Arial"/>
      <family val="2"/>
    </font>
    <font>
      <sz val="11"/>
      <color rgb="FF1F1F1F"/>
      <name val="Arial"/>
      <family val="2"/>
    </font>
    <font>
      <sz val="11"/>
      <color rgb="FF444746"/>
      <name val="Arial"/>
      <family val="2"/>
    </font>
    <font>
      <sz val="11"/>
      <name val="Times New Roman"/>
      <family val="1"/>
    </font>
  </fonts>
  <fills count="8">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theme="0"/>
        <bgColor indexed="26"/>
      </patternFill>
    </fill>
    <fill>
      <patternFill patternType="solid">
        <fgColor theme="0"/>
        <bgColor indexed="41"/>
      </patternFill>
    </fill>
    <fill>
      <patternFill patternType="solid">
        <fgColor theme="0"/>
        <bgColor indexed="64"/>
      </patternFill>
    </fill>
  </fills>
  <borders count="44">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right/>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64"/>
      </top>
      <bottom style="thin">
        <color indexed="64"/>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s>
  <cellStyleXfs count="5">
    <xf numFmtId="0" fontId="0" fillId="0" borderId="0"/>
    <xf numFmtId="0" fontId="17" fillId="0" borderId="0" applyNumberFormat="0" applyFill="0" applyBorder="0" applyAlignment="0" applyProtection="0"/>
    <xf numFmtId="0" fontId="21" fillId="0" borderId="0"/>
    <xf numFmtId="0" fontId="21" fillId="0" borderId="0"/>
    <xf numFmtId="0" fontId="18" fillId="0" borderId="0"/>
  </cellStyleXfs>
  <cellXfs count="199">
    <xf numFmtId="0" fontId="0" fillId="0" borderId="0" xfId="0"/>
    <xf numFmtId="0" fontId="1" fillId="2" borderId="0" xfId="0" applyFont="1" applyFill="1"/>
    <xf numFmtId="0" fontId="3" fillId="2" borderId="0" xfId="2" applyFont="1" applyFill="1" applyBorder="1"/>
    <xf numFmtId="0" fontId="1" fillId="2" borderId="0" xfId="2" applyFont="1" applyFill="1" applyBorder="1"/>
    <xf numFmtId="164" fontId="1" fillId="2" borderId="0" xfId="2" applyNumberFormat="1" applyFont="1" applyFill="1" applyBorder="1"/>
    <xf numFmtId="0" fontId="4" fillId="2" borderId="1" xfId="0" applyFont="1" applyFill="1" applyBorder="1" applyAlignment="1">
      <alignment horizontal="left" vertical="center"/>
    </xf>
    <xf numFmtId="0" fontId="4" fillId="2" borderId="1" xfId="0" applyFont="1" applyFill="1" applyBorder="1" applyAlignment="1">
      <alignment horizontal="left"/>
    </xf>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0" fontId="5" fillId="2" borderId="2" xfId="0" applyFont="1" applyFill="1" applyBorder="1" applyAlignment="1">
      <alignment vertical="top"/>
    </xf>
    <xf numFmtId="0" fontId="4" fillId="2" borderId="0" xfId="0" applyFont="1" applyFill="1"/>
    <xf numFmtId="0" fontId="5" fillId="2" borderId="0" xfId="2" applyFont="1" applyFill="1" applyBorder="1"/>
    <xf numFmtId="0" fontId="1" fillId="2" borderId="0" xfId="0" applyFont="1" applyFill="1" applyBorder="1"/>
    <xf numFmtId="0" fontId="1" fillId="2" borderId="3" xfId="0" applyFont="1" applyFill="1" applyBorder="1" applyAlignment="1"/>
    <xf numFmtId="0" fontId="6" fillId="3" borderId="4" xfId="0" applyNumberFormat="1" applyFont="1" applyFill="1" applyBorder="1" applyAlignment="1">
      <alignment horizontal="center"/>
    </xf>
    <xf numFmtId="0" fontId="6" fillId="3" borderId="5" xfId="0" applyNumberFormat="1" applyFont="1" applyFill="1" applyBorder="1" applyAlignment="1">
      <alignment horizontal="center"/>
    </xf>
    <xf numFmtId="0" fontId="6" fillId="3" borderId="5" xfId="0" applyNumberFormat="1" applyFont="1" applyFill="1" applyBorder="1" applyAlignment="1">
      <alignment horizontal="center" wrapText="1"/>
    </xf>
    <xf numFmtId="0" fontId="6" fillId="3" borderId="6" xfId="0" applyNumberFormat="1" applyFont="1" applyFill="1" applyBorder="1" applyAlignment="1">
      <alignment horizontal="center"/>
    </xf>
    <xf numFmtId="0" fontId="6" fillId="3" borderId="7" xfId="0" applyNumberFormat="1" applyFont="1" applyFill="1" applyBorder="1" applyAlignment="1">
      <alignment horizontal="center" wrapText="1"/>
    </xf>
    <xf numFmtId="0" fontId="1" fillId="2" borderId="3" xfId="0" applyFont="1" applyFill="1" applyBorder="1"/>
    <xf numFmtId="0" fontId="1" fillId="2" borderId="8" xfId="0" applyNumberFormat="1" applyFont="1" applyFill="1" applyBorder="1" applyAlignment="1">
      <alignment horizontal="center"/>
    </xf>
    <xf numFmtId="0" fontId="1" fillId="2" borderId="9" xfId="0" applyNumberFormat="1" applyFont="1" applyFill="1" applyBorder="1"/>
    <xf numFmtId="0" fontId="1" fillId="2" borderId="9" xfId="0" applyNumberFormat="1" applyFont="1" applyFill="1" applyBorder="1" applyAlignment="1">
      <alignment horizontal="center"/>
    </xf>
    <xf numFmtId="0" fontId="1" fillId="2" borderId="10" xfId="0" applyNumberFormat="1" applyFont="1" applyFill="1" applyBorder="1" applyAlignment="1">
      <alignment horizontal="center"/>
    </xf>
    <xf numFmtId="0" fontId="1" fillId="2" borderId="11" xfId="0" applyNumberFormat="1" applyFont="1" applyFill="1" applyBorder="1" applyAlignment="1">
      <alignment horizontal="center"/>
    </xf>
    <xf numFmtId="0" fontId="7" fillId="3" borderId="12" xfId="0" applyNumberFormat="1" applyFont="1" applyFill="1" applyBorder="1" applyAlignment="1">
      <alignment horizontal="center"/>
    </xf>
    <xf numFmtId="0" fontId="6" fillId="3" borderId="13" xfId="0" applyFont="1" applyFill="1" applyBorder="1"/>
    <xf numFmtId="0" fontId="7" fillId="3" borderId="13" xfId="0" applyNumberFormat="1" applyFont="1" applyFill="1" applyBorder="1" applyAlignment="1">
      <alignment horizontal="center"/>
    </xf>
    <xf numFmtId="0" fontId="7" fillId="3" borderId="13" xfId="0" applyFont="1" applyFill="1" applyBorder="1" applyAlignment="1">
      <alignment horizontal="center"/>
    </xf>
    <xf numFmtId="0" fontId="7" fillId="3" borderId="14" xfId="0" applyFont="1" applyFill="1" applyBorder="1" applyAlignment="1">
      <alignment horizontal="center"/>
    </xf>
    <xf numFmtId="0" fontId="1" fillId="2" borderId="0" xfId="0" applyFont="1" applyFill="1" applyBorder="1" applyAlignment="1">
      <alignment horizontal="center"/>
    </xf>
    <xf numFmtId="10" fontId="1" fillId="2" borderId="0" xfId="0" applyNumberFormat="1" applyFont="1" applyFill="1" applyBorder="1" applyAlignment="1">
      <alignment horizontal="center"/>
    </xf>
    <xf numFmtId="9" fontId="1" fillId="2" borderId="0" xfId="0" applyNumberFormat="1" applyFont="1" applyFill="1" applyBorder="1" applyAlignment="1">
      <alignment horizontal="center"/>
    </xf>
    <xf numFmtId="0" fontId="4" fillId="2" borderId="0" xfId="0" applyFont="1" applyFill="1" applyBorder="1" applyAlignment="1">
      <alignment horizontal="left"/>
    </xf>
    <xf numFmtId="2" fontId="8" fillId="2" borderId="0" xfId="0" applyNumberFormat="1" applyFont="1" applyFill="1" applyBorder="1" applyAlignment="1">
      <alignment horizontal="right" wrapText="1"/>
    </xf>
    <xf numFmtId="0" fontId="9" fillId="2" borderId="0" xfId="0" applyFont="1" applyFill="1" applyBorder="1" applyAlignment="1">
      <alignment horizontal="center" wrapText="1"/>
    </xf>
    <xf numFmtId="0" fontId="9" fillId="2" borderId="0" xfId="0" applyFont="1" applyFill="1" applyAlignment="1"/>
    <xf numFmtId="0" fontId="9" fillId="2" borderId="0" xfId="0" applyFont="1" applyFill="1" applyAlignment="1">
      <alignment vertical="top"/>
    </xf>
    <xf numFmtId="0" fontId="1" fillId="2" borderId="0" xfId="0" applyFont="1" applyFill="1" applyAlignment="1"/>
    <xf numFmtId="0" fontId="10" fillId="2" borderId="0" xfId="0" applyFont="1" applyFill="1"/>
    <xf numFmtId="0" fontId="9" fillId="2" borderId="15" xfId="0" applyFont="1" applyFill="1" applyBorder="1" applyAlignment="1"/>
    <xf numFmtId="0" fontId="9" fillId="2" borderId="15" xfId="0" applyFont="1" applyFill="1" applyBorder="1" applyAlignment="1">
      <alignment wrapText="1"/>
    </xf>
    <xf numFmtId="0" fontId="1" fillId="2" borderId="15" xfId="0" applyFont="1" applyFill="1" applyBorder="1" applyAlignment="1">
      <alignment wrapText="1"/>
    </xf>
    <xf numFmtId="0" fontId="3" fillId="2" borderId="0" xfId="0" applyFont="1" applyFill="1" applyAlignment="1" applyProtection="1">
      <alignment wrapText="1"/>
    </xf>
    <xf numFmtId="0" fontId="1" fillId="2" borderId="0" xfId="0" applyFont="1" applyFill="1" applyAlignment="1">
      <alignment wrapText="1"/>
    </xf>
    <xf numFmtId="0" fontId="3" fillId="2" borderId="16" xfId="3" applyFont="1" applyFill="1" applyBorder="1" applyAlignment="1">
      <alignment horizontal="left" wrapText="1"/>
    </xf>
    <xf numFmtId="0" fontId="1" fillId="2" borderId="0" xfId="0" applyFont="1" applyFill="1" applyAlignment="1" applyProtection="1">
      <alignment wrapText="1"/>
    </xf>
    <xf numFmtId="0" fontId="3" fillId="2" borderId="18" xfId="3" applyFont="1" applyFill="1" applyBorder="1" applyAlignment="1">
      <alignment horizontal="left" wrapText="1"/>
    </xf>
    <xf numFmtId="0" fontId="11" fillId="2" borderId="18"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 fillId="2" borderId="0" xfId="0" applyFont="1" applyFill="1" applyBorder="1" applyAlignment="1">
      <alignment horizontal="center" wrapText="1"/>
    </xf>
    <xf numFmtId="0" fontId="9" fillId="2" borderId="21" xfId="0" applyFont="1" applyFill="1" applyBorder="1" applyAlignment="1">
      <alignment horizontal="center" vertical="center"/>
    </xf>
    <xf numFmtId="0" fontId="9" fillId="2" borderId="22" xfId="0" applyFont="1" applyFill="1" applyBorder="1" applyAlignment="1">
      <alignment horizontal="center" vertical="center"/>
    </xf>
    <xf numFmtId="0" fontId="6" fillId="3" borderId="1" xfId="3" applyFont="1" applyFill="1" applyBorder="1" applyAlignment="1">
      <alignment horizontal="center" vertical="center" wrapText="1"/>
    </xf>
    <xf numFmtId="0" fontId="6" fillId="3" borderId="24" xfId="3" applyFont="1" applyFill="1" applyBorder="1" applyAlignment="1">
      <alignment horizontal="center" vertical="center" wrapText="1"/>
    </xf>
    <xf numFmtId="0" fontId="1" fillId="2" borderId="1" xfId="3" applyFont="1" applyFill="1" applyBorder="1" applyAlignment="1">
      <alignment vertical="top" wrapText="1"/>
    </xf>
    <xf numFmtId="0" fontId="10" fillId="2" borderId="0" xfId="0" applyFont="1" applyFill="1" applyAlignment="1">
      <alignment wrapText="1"/>
    </xf>
    <xf numFmtId="0" fontId="11" fillId="2" borderId="0" xfId="0" applyFont="1" applyFill="1" applyAlignment="1"/>
    <xf numFmtId="0" fontId="10" fillId="2" borderId="0" xfId="0" applyFont="1" applyFill="1" applyBorder="1" applyAlignment="1">
      <alignment horizontal="center" wrapText="1"/>
    </xf>
    <xf numFmtId="0" fontId="12" fillId="2" borderId="0" xfId="3" applyFont="1" applyFill="1" applyBorder="1" applyAlignment="1">
      <alignment horizontal="center" vertical="center" wrapText="1"/>
    </xf>
    <xf numFmtId="0" fontId="12" fillId="2" borderId="0" xfId="3" applyFont="1" applyFill="1" applyBorder="1" applyAlignment="1">
      <alignment horizontal="left" vertical="center"/>
    </xf>
    <xf numFmtId="0" fontId="10" fillId="2" borderId="0" xfId="0" applyFont="1" applyFill="1" applyBorder="1" applyAlignment="1">
      <alignment vertical="top" wrapText="1"/>
    </xf>
    <xf numFmtId="0" fontId="10" fillId="2" borderId="0" xfId="0" applyFont="1" applyFill="1" applyBorder="1"/>
    <xf numFmtId="0" fontId="9" fillId="2" borderId="25" xfId="0" applyFont="1" applyFill="1" applyBorder="1" applyAlignment="1">
      <alignment horizontal="center" vertical="center"/>
    </xf>
    <xf numFmtId="0" fontId="13" fillId="2" borderId="1" xfId="0" applyFont="1" applyFill="1" applyBorder="1" applyAlignment="1">
      <alignment horizontal="left" vertical="center" wrapText="1"/>
    </xf>
    <xf numFmtId="0" fontId="13" fillId="2" borderId="1" xfId="0" applyFont="1" applyFill="1" applyBorder="1" applyAlignment="1">
      <alignment vertical="center" wrapText="1"/>
    </xf>
    <xf numFmtId="0" fontId="1" fillId="2" borderId="1" xfId="0" applyFont="1" applyFill="1" applyBorder="1" applyAlignment="1">
      <alignment vertical="top" wrapText="1"/>
    </xf>
    <xf numFmtId="0" fontId="1" fillId="5" borderId="0" xfId="3" applyFont="1" applyFill="1" applyBorder="1" applyAlignment="1">
      <alignment vertical="top" wrapText="1"/>
    </xf>
    <xf numFmtId="0" fontId="1" fillId="5" borderId="0" xfId="0" applyFont="1" applyFill="1" applyBorder="1" applyAlignment="1">
      <alignment vertical="top" wrapText="1"/>
    </xf>
    <xf numFmtId="0" fontId="1" fillId="2" borderId="36" xfId="0" applyFont="1" applyFill="1" applyBorder="1"/>
    <xf numFmtId="0" fontId="1" fillId="2" borderId="37" xfId="0" applyFont="1" applyFill="1" applyBorder="1"/>
    <xf numFmtId="0" fontId="1" fillId="2" borderId="0" xfId="0" applyFont="1" applyFill="1" applyBorder="1"/>
    <xf numFmtId="0" fontId="1" fillId="2" borderId="0" xfId="0" applyFont="1" applyFill="1" applyBorder="1"/>
    <xf numFmtId="0" fontId="1" fillId="2" borderId="0" xfId="0" applyFont="1" applyFill="1" applyBorder="1" applyAlignment="1"/>
    <xf numFmtId="0" fontId="1" fillId="2" borderId="38" xfId="0" applyFont="1" applyFill="1" applyBorder="1"/>
    <xf numFmtId="0" fontId="1" fillId="7" borderId="39" xfId="0" applyFont="1" applyFill="1" applyBorder="1"/>
    <xf numFmtId="0" fontId="1" fillId="7" borderId="40" xfId="0" applyFont="1" applyFill="1" applyBorder="1"/>
    <xf numFmtId="0" fontId="1" fillId="7" borderId="0" xfId="0" applyFont="1" applyFill="1" applyBorder="1"/>
    <xf numFmtId="0" fontId="1" fillId="7" borderId="0" xfId="0" applyFont="1" applyFill="1" applyBorder="1"/>
    <xf numFmtId="0" fontId="1" fillId="7" borderId="0" xfId="0" applyFont="1" applyFill="1" applyBorder="1"/>
    <xf numFmtId="0" fontId="1" fillId="7" borderId="0" xfId="0" applyFont="1" applyFill="1" applyBorder="1" applyAlignment="1"/>
    <xf numFmtId="0" fontId="1" fillId="2" borderId="41" xfId="0" applyFont="1" applyFill="1" applyBorder="1"/>
    <xf numFmtId="0" fontId="22" fillId="7" borderId="42" xfId="0" applyFont="1" applyFill="1" applyBorder="1" applyAlignment="1">
      <alignment wrapText="1" readingOrder="1"/>
    </xf>
    <xf numFmtId="0" fontId="22" fillId="7" borderId="37" xfId="0" applyFont="1" applyFill="1" applyBorder="1" applyAlignment="1">
      <alignment wrapText="1" readingOrder="1"/>
    </xf>
    <xf numFmtId="0" fontId="22" fillId="7" borderId="0" xfId="0" applyFont="1" applyFill="1" applyBorder="1" applyAlignment="1">
      <alignment wrapText="1" readingOrder="1"/>
    </xf>
    <xf numFmtId="0" fontId="1" fillId="7" borderId="0" xfId="0" applyFont="1" applyFill="1" applyBorder="1"/>
    <xf numFmtId="0" fontId="22" fillId="7" borderId="0" xfId="0" applyFont="1" applyFill="1" applyBorder="1" applyAlignment="1">
      <alignment wrapText="1" readingOrder="1"/>
    </xf>
    <xf numFmtId="0" fontId="1" fillId="7" borderId="0" xfId="0" applyFont="1" applyFill="1" applyBorder="1"/>
    <xf numFmtId="0" fontId="22" fillId="7" borderId="0" xfId="0" applyFont="1" applyFill="1" applyBorder="1" applyAlignment="1">
      <alignment wrapText="1" readingOrder="1"/>
    </xf>
    <xf numFmtId="0" fontId="23" fillId="7" borderId="0" xfId="0" applyFont="1" applyFill="1" applyBorder="1" applyAlignment="1">
      <alignment wrapText="1" readingOrder="1"/>
    </xf>
    <xf numFmtId="0" fontId="24" fillId="7" borderId="0" xfId="0" applyFont="1" applyFill="1" applyBorder="1" applyAlignment="1">
      <alignment wrapText="1" readingOrder="1"/>
    </xf>
    <xf numFmtId="0" fontId="1" fillId="2" borderId="0" xfId="0" applyFont="1" applyFill="1" applyBorder="1"/>
    <xf numFmtId="0" fontId="0" fillId="7" borderId="0" xfId="0" applyFill="1" applyBorder="1"/>
    <xf numFmtId="0" fontId="22" fillId="7" borderId="0" xfId="0" applyFont="1" applyFill="1" applyBorder="1" applyAlignment="1">
      <alignment wrapText="1" readingOrder="1"/>
    </xf>
    <xf numFmtId="0" fontId="22" fillId="7" borderId="0" xfId="0" applyFont="1" applyFill="1" applyBorder="1" applyAlignment="1">
      <alignment wrapText="1" readingOrder="1"/>
    </xf>
    <xf numFmtId="0" fontId="23" fillId="7" borderId="0" xfId="0" applyFont="1" applyFill="1" applyBorder="1" applyAlignment="1">
      <alignment wrapText="1" readingOrder="1"/>
    </xf>
    <xf numFmtId="0" fontId="0" fillId="7" borderId="0" xfId="0" applyFill="1" applyBorder="1"/>
    <xf numFmtId="0" fontId="1" fillId="7" borderId="0" xfId="0" applyFont="1" applyFill="1" applyBorder="1" applyAlignment="1"/>
    <xf numFmtId="0" fontId="1" fillId="7" borderId="0" xfId="0" applyFont="1" applyFill="1" applyBorder="1" applyAlignment="1"/>
    <xf numFmtId="0" fontId="22" fillId="7" borderId="0" xfId="0" applyFont="1" applyFill="1" applyBorder="1" applyAlignment="1">
      <alignment wrapText="1" readingOrder="1"/>
    </xf>
    <xf numFmtId="0" fontId="22" fillId="7" borderId="0" xfId="0" applyFont="1" applyFill="1" applyBorder="1" applyAlignment="1">
      <alignment wrapText="1" readingOrder="1"/>
    </xf>
    <xf numFmtId="0" fontId="23" fillId="7" borderId="0" xfId="0" applyFont="1" applyFill="1" applyBorder="1" applyAlignment="1">
      <alignment wrapText="1" readingOrder="1"/>
    </xf>
    <xf numFmtId="0" fontId="1" fillId="7" borderId="0" xfId="0" applyFont="1" applyFill="1" applyBorder="1" applyAlignment="1"/>
    <xf numFmtId="0" fontId="1" fillId="2" borderId="43" xfId="0" applyFont="1" applyFill="1" applyBorder="1"/>
    <xf numFmtId="0" fontId="1" fillId="7" borderId="0" xfId="0" applyFont="1" applyFill="1" applyBorder="1"/>
    <xf numFmtId="0" fontId="22" fillId="0" borderId="26" xfId="0" applyFont="1" applyBorder="1" applyAlignment="1">
      <alignment wrapText="1" readingOrder="1"/>
    </xf>
    <xf numFmtId="0" fontId="13" fillId="2" borderId="26" xfId="3" applyFont="1" applyFill="1" applyBorder="1" applyAlignment="1">
      <alignment vertical="center" wrapText="1"/>
    </xf>
    <xf numFmtId="0" fontId="23" fillId="0" borderId="26" xfId="0" applyFont="1" applyBorder="1" applyAlignment="1">
      <alignment wrapText="1" readingOrder="1"/>
    </xf>
    <xf numFmtId="0" fontId="24" fillId="0" borderId="29" xfId="0" applyFont="1" applyBorder="1" applyAlignment="1">
      <alignment wrapText="1" readingOrder="1"/>
    </xf>
    <xf numFmtId="0" fontId="13" fillId="2" borderId="1" xfId="3" applyFont="1" applyFill="1" applyBorder="1" applyAlignment="1">
      <alignment vertical="center" wrapText="1"/>
    </xf>
    <xf numFmtId="0" fontId="22" fillId="0" borderId="26" xfId="0" applyFont="1" applyBorder="1" applyAlignment="1">
      <alignment horizontal="left" vertical="center" wrapText="1" readingOrder="1"/>
    </xf>
    <xf numFmtId="0" fontId="23" fillId="0" borderId="26" xfId="0" applyFont="1" applyBorder="1" applyAlignment="1">
      <alignment horizontal="left" vertical="center" wrapText="1" readingOrder="1"/>
    </xf>
    <xf numFmtId="0" fontId="23" fillId="0" borderId="26" xfId="0" applyFont="1" applyBorder="1" applyAlignment="1">
      <alignment horizontal="left" vertical="center" wrapText="1" readingOrder="1"/>
    </xf>
    <xf numFmtId="0" fontId="23" fillId="0" borderId="29" xfId="0" applyFont="1" applyBorder="1" applyAlignment="1">
      <alignment horizontal="left" vertical="center" wrapText="1" readingOrder="1"/>
    </xf>
    <xf numFmtId="0" fontId="24" fillId="0" borderId="29" xfId="0" applyFont="1" applyBorder="1" applyAlignment="1">
      <alignment horizontal="left" vertical="center" wrapText="1" readingOrder="1"/>
    </xf>
    <xf numFmtId="0" fontId="22" fillId="0" borderId="27" xfId="0" applyFont="1" applyBorder="1" applyAlignment="1">
      <alignment horizontal="left" vertical="center" wrapText="1" readingOrder="1"/>
    </xf>
    <xf numFmtId="0" fontId="23" fillId="0" borderId="27" xfId="0" applyFont="1" applyBorder="1" applyAlignment="1">
      <alignment horizontal="left" vertical="center" wrapText="1" readingOrder="1"/>
    </xf>
    <xf numFmtId="0" fontId="23" fillId="0" borderId="27" xfId="0" applyFont="1" applyBorder="1" applyAlignment="1">
      <alignment horizontal="left" vertical="center" wrapText="1" readingOrder="1"/>
    </xf>
    <xf numFmtId="0" fontId="23" fillId="0" borderId="28" xfId="0" applyFont="1" applyBorder="1" applyAlignment="1">
      <alignment horizontal="left" vertical="center" wrapText="1" readingOrder="1"/>
    </xf>
    <xf numFmtId="0" fontId="1" fillId="5" borderId="0" xfId="0" applyFont="1" applyFill="1" applyBorder="1" applyAlignment="1"/>
    <xf numFmtId="0" fontId="1" fillId="5" borderId="0" xfId="0" applyFont="1" applyFill="1" applyBorder="1"/>
    <xf numFmtId="0" fontId="3" fillId="6" borderId="0" xfId="3" applyFont="1" applyFill="1" applyBorder="1" applyAlignment="1">
      <alignment horizontal="left" vertical="center"/>
    </xf>
    <xf numFmtId="0" fontId="3" fillId="6" borderId="0" xfId="3" applyFont="1" applyFill="1" applyBorder="1" applyAlignment="1">
      <alignment horizontal="left" vertical="center"/>
    </xf>
    <xf numFmtId="0" fontId="3" fillId="6" borderId="0" xfId="3" applyFont="1" applyFill="1" applyBorder="1" applyAlignment="1">
      <alignment horizontal="left" vertical="center"/>
    </xf>
    <xf numFmtId="0" fontId="1" fillId="2" borderId="0" xfId="0" applyFont="1" applyFill="1" applyAlignment="1">
      <alignment vertical="center"/>
    </xf>
    <xf numFmtId="0" fontId="3" fillId="2" borderId="0" xfId="0" applyFont="1" applyFill="1" applyAlignment="1">
      <alignment horizontal="center"/>
    </xf>
    <xf numFmtId="1" fontId="1" fillId="2" borderId="0" xfId="0" applyNumberFormat="1" applyFont="1" applyFill="1"/>
    <xf numFmtId="0" fontId="1" fillId="2" borderId="0" xfId="0" applyFont="1" applyFill="1" applyAlignment="1">
      <alignment horizontal="left"/>
    </xf>
    <xf numFmtId="1" fontId="1" fillId="2" borderId="0" xfId="0" applyNumberFormat="1" applyFont="1" applyFill="1" applyProtection="1">
      <protection hidden="1"/>
    </xf>
    <xf numFmtId="0" fontId="2" fillId="2"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1" fontId="4" fillId="2" borderId="0" xfId="0" applyNumberFormat="1" applyFont="1" applyFill="1" applyBorder="1" applyAlignment="1"/>
    <xf numFmtId="1" fontId="1" fillId="2" borderId="0" xfId="0" applyNumberFormat="1" applyFont="1" applyFill="1" applyAlignment="1" applyProtection="1">
      <alignment vertical="center"/>
      <protection hidden="1"/>
    </xf>
    <xf numFmtId="0" fontId="1" fillId="2" borderId="0" xfId="0" applyFont="1" applyFill="1" applyAlignment="1">
      <alignment horizontal="left" vertical="center"/>
    </xf>
    <xf numFmtId="1" fontId="6" fillId="4" borderId="30" xfId="0" applyNumberFormat="1"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31" xfId="0" applyFont="1" applyFill="1" applyBorder="1" applyAlignment="1">
      <alignment horizontal="center" vertical="center"/>
    </xf>
    <xf numFmtId="1" fontId="1" fillId="2" borderId="32" xfId="0" applyNumberFormat="1" applyFont="1" applyFill="1" applyBorder="1" applyAlignment="1">
      <alignment vertical="center"/>
    </xf>
    <xf numFmtId="49" fontId="1" fillId="2" borderId="9" xfId="0" applyNumberFormat="1" applyFont="1" applyFill="1" applyBorder="1" applyAlignment="1">
      <alignment horizontal="left" vertical="center"/>
    </xf>
    <xf numFmtId="0" fontId="14" fillId="2" borderId="9" xfId="1" applyNumberFormat="1" applyFont="1" applyFill="1" applyBorder="1" applyAlignment="1" applyProtection="1">
      <alignment horizontal="left" vertical="center"/>
    </xf>
    <xf numFmtId="0" fontId="1" fillId="2" borderId="33" xfId="0" applyFont="1" applyFill="1" applyBorder="1" applyAlignment="1">
      <alignment horizontal="left" vertical="center"/>
    </xf>
    <xf numFmtId="0" fontId="1" fillId="2" borderId="9" xfId="0" applyFont="1" applyFill="1" applyBorder="1" applyAlignment="1">
      <alignment horizontal="left" vertical="center"/>
    </xf>
    <xf numFmtId="1" fontId="1" fillId="2" borderId="34" xfId="0" applyNumberFormat="1" applyFont="1" applyFill="1" applyBorder="1" applyAlignment="1">
      <alignment vertical="center"/>
    </xf>
    <xf numFmtId="49" fontId="1" fillId="2" borderId="13" xfId="0" applyNumberFormat="1" applyFont="1" applyFill="1" applyBorder="1" applyAlignment="1">
      <alignment horizontal="left" vertical="center"/>
    </xf>
    <xf numFmtId="0" fontId="1" fillId="2" borderId="13" xfId="0" applyFont="1" applyFill="1" applyBorder="1" applyAlignment="1">
      <alignment horizontal="left" vertical="center"/>
    </xf>
    <xf numFmtId="0" fontId="1" fillId="2" borderId="35" xfId="0" applyFont="1" applyFill="1" applyBorder="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top"/>
    </xf>
    <xf numFmtId="0" fontId="1" fillId="0" borderId="0" xfId="0" applyFont="1"/>
    <xf numFmtId="0" fontId="1" fillId="0" borderId="0" xfId="0" applyFont="1" applyAlignment="1">
      <alignment horizontal="left" indent="1"/>
    </xf>
    <xf numFmtId="0" fontId="15" fillId="2" borderId="0" xfId="0" applyFont="1" applyFill="1" applyAlignment="1">
      <alignment horizontal="center" vertical="center"/>
    </xf>
    <xf numFmtId="0" fontId="16" fillId="0" borderId="20" xfId="0" applyFont="1" applyBorder="1" applyAlignment="1">
      <alignment horizontal="center" vertical="center"/>
    </xf>
    <xf numFmtId="0" fontId="4" fillId="2" borderId="0" xfId="0" applyFont="1" applyFill="1" applyAlignment="1">
      <alignment horizontal="left" indent="1"/>
    </xf>
    <xf numFmtId="0" fontId="5" fillId="0" borderId="0" xfId="0" applyFont="1" applyAlignment="1">
      <alignment horizontal="left" indent="1"/>
    </xf>
    <xf numFmtId="0" fontId="1" fillId="0" borderId="2" xfId="0" applyFont="1" applyBorder="1" applyAlignment="1"/>
    <xf numFmtId="0" fontId="5" fillId="0" borderId="2" xfId="0" applyFont="1" applyBorder="1" applyAlignment="1">
      <alignment horizontal="left" indent="1"/>
    </xf>
    <xf numFmtId="0" fontId="4" fillId="2" borderId="0" xfId="0" applyFont="1" applyFill="1" applyBorder="1"/>
    <xf numFmtId="0" fontId="5" fillId="0" borderId="0" xfId="0" applyFont="1" applyBorder="1" applyAlignment="1">
      <alignment horizontal="left"/>
    </xf>
    <xf numFmtId="0" fontId="1" fillId="0" borderId="0" xfId="0" applyFont="1" applyBorder="1" applyAlignment="1"/>
    <xf numFmtId="0" fontId="4" fillId="2" borderId="0" xfId="0" applyFont="1" applyFill="1" applyBorder="1" applyAlignment="1">
      <alignment horizontal="left" indent="1"/>
    </xf>
    <xf numFmtId="0" fontId="5" fillId="0" borderId="0" xfId="0" applyFont="1" applyBorder="1" applyAlignment="1">
      <alignment horizontal="left" indent="1"/>
    </xf>
    <xf numFmtId="0" fontId="1" fillId="0" borderId="0" xfId="0" applyFont="1" applyBorder="1" applyAlignment="1">
      <alignment horizontal="left" indent="1"/>
    </xf>
    <xf numFmtId="0" fontId="1" fillId="0" borderId="0" xfId="0" applyFont="1" applyBorder="1"/>
    <xf numFmtId="0" fontId="4" fillId="0" borderId="0" xfId="0" applyFont="1" applyAlignment="1">
      <alignment horizontal="left"/>
    </xf>
    <xf numFmtId="164" fontId="6" fillId="3" borderId="30" xfId="0" applyNumberFormat="1" applyFont="1" applyFill="1" applyBorder="1" applyAlignment="1">
      <alignment horizontal="center" vertical="center"/>
    </xf>
    <xf numFmtId="0" fontId="6" fillId="3" borderId="5" xfId="0" applyFont="1" applyFill="1" applyBorder="1" applyAlignment="1">
      <alignment horizontal="center" vertical="center"/>
    </xf>
    <xf numFmtId="0" fontId="6" fillId="3" borderId="31" xfId="0" applyFont="1" applyFill="1" applyBorder="1" applyAlignment="1">
      <alignment horizontal="center" vertical="center"/>
    </xf>
    <xf numFmtId="0" fontId="5" fillId="0" borderId="32" xfId="0" applyFont="1" applyBorder="1" applyAlignment="1">
      <alignment vertical="top" wrapText="1"/>
    </xf>
    <xf numFmtId="49" fontId="1" fillId="0" borderId="9" xfId="0" applyNumberFormat="1" applyFont="1" applyBorder="1" applyAlignment="1">
      <alignment vertical="top"/>
    </xf>
    <xf numFmtId="0" fontId="1" fillId="0" borderId="9" xfId="0" applyFont="1" applyBorder="1" applyAlignment="1">
      <alignment vertical="top"/>
    </xf>
    <xf numFmtId="15" fontId="1" fillId="0" borderId="9" xfId="0" applyNumberFormat="1" applyFont="1" applyBorder="1" applyAlignment="1">
      <alignment vertical="top"/>
    </xf>
    <xf numFmtId="0" fontId="5" fillId="0" borderId="33" xfId="0" applyFont="1" applyBorder="1" applyAlignment="1">
      <alignment vertical="top" wrapText="1"/>
    </xf>
    <xf numFmtId="164" fontId="1" fillId="0" borderId="32" xfId="0" applyNumberFormat="1" applyFont="1" applyBorder="1" applyAlignment="1">
      <alignment vertical="top"/>
    </xf>
    <xf numFmtId="0" fontId="1" fillId="0" borderId="33" xfId="0" applyFont="1" applyBorder="1" applyAlignment="1">
      <alignment vertical="top"/>
    </xf>
    <xf numFmtId="164" fontId="1" fillId="0" borderId="34" xfId="0" applyNumberFormat="1" applyFont="1" applyBorder="1" applyAlignment="1">
      <alignment vertical="top"/>
    </xf>
    <xf numFmtId="49" fontId="1" fillId="0" borderId="13" xfId="0" applyNumberFormat="1" applyFont="1" applyBorder="1" applyAlignment="1">
      <alignment vertical="top"/>
    </xf>
    <xf numFmtId="0" fontId="1" fillId="0" borderId="13" xfId="0" applyFont="1" applyBorder="1" applyAlignment="1">
      <alignment vertical="top"/>
    </xf>
    <xf numFmtId="0" fontId="1" fillId="0" borderId="35" xfId="0" applyFont="1" applyBorder="1" applyAlignment="1">
      <alignment vertical="top"/>
    </xf>
    <xf numFmtId="0" fontId="2" fillId="0" borderId="1" xfId="0" applyFont="1" applyBorder="1" applyAlignment="1">
      <alignment horizontal="center" vertical="center"/>
    </xf>
    <xf numFmtId="0" fontId="5" fillId="0" borderId="1" xfId="0" applyFont="1" applyBorder="1" applyAlignment="1">
      <alignment horizontal="left"/>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1" fontId="4" fillId="2" borderId="20" xfId="0" applyNumberFormat="1" applyFont="1" applyFill="1" applyBorder="1" applyAlignment="1"/>
    <xf numFmtId="0" fontId="5" fillId="2" borderId="1" xfId="0" applyFont="1" applyFill="1" applyBorder="1" applyAlignment="1">
      <alignment horizontal="left"/>
    </xf>
    <xf numFmtId="1" fontId="4" fillId="2" borderId="1" xfId="0" applyNumberFormat="1" applyFont="1" applyFill="1" applyBorder="1" applyAlignment="1">
      <alignment vertical="center" wrapText="1"/>
    </xf>
    <xf numFmtId="0" fontId="5" fillId="2" borderId="1" xfId="0" applyFont="1" applyFill="1" applyBorder="1" applyAlignment="1">
      <alignment vertical="top" wrapText="1"/>
    </xf>
    <xf numFmtId="0" fontId="5" fillId="2" borderId="17" xfId="3" applyFont="1" applyFill="1" applyBorder="1" applyAlignment="1">
      <alignment horizontal="left" wrapText="1"/>
    </xf>
    <xf numFmtId="0" fontId="5" fillId="2" borderId="19" xfId="3" applyFont="1" applyFill="1" applyBorder="1" applyAlignment="1">
      <alignment horizontal="left" wrapText="1"/>
    </xf>
    <xf numFmtId="0" fontId="11" fillId="2" borderId="17"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5" fillId="2" borderId="1" xfId="2" applyFont="1" applyFill="1" applyBorder="1" applyAlignment="1">
      <alignment vertical="top"/>
    </xf>
    <xf numFmtId="0" fontId="2" fillId="2" borderId="0" xfId="2" applyFont="1" applyFill="1" applyBorder="1" applyAlignment="1">
      <alignment horizontal="center"/>
    </xf>
    <xf numFmtId="0" fontId="4" fillId="2" borderId="1" xfId="0" applyFont="1" applyFill="1" applyBorder="1" applyAlignment="1">
      <alignment horizontal="left"/>
    </xf>
    <xf numFmtId="0" fontId="25" fillId="0" borderId="0" xfId="0" applyFont="1"/>
  </cellXfs>
  <cellStyles count="5">
    <cellStyle name="Hyperlink" xfId="1" builtinId="8"/>
    <cellStyle name="Normal" xfId="0" builtinId="0"/>
    <cellStyle name="Normal_Functional Test Case v1.0" xfId="2"/>
    <cellStyle name="Normal_Sheet1" xfId="3"/>
    <cellStyle name="標準_結合試験(AllOvertheWorld)" xfId="4"/>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terface%20Test%20c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face test case"/>
      <sheetName val="Test Report"/>
      <sheetName val="Sheet1"/>
    </sheetNames>
    <sheetDataSet>
      <sheetData sheetId="0">
        <row r="6">
          <cell r="A6">
            <v>0</v>
          </cell>
          <cell r="B6">
            <v>0</v>
          </cell>
          <cell r="C6">
            <v>7</v>
          </cell>
          <cell r="D6">
            <v>0</v>
          </cell>
          <cell r="E6">
            <v>7</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G18"/>
  <sheetViews>
    <sheetView workbookViewId="0">
      <selection activeCell="F25" sqref="F25"/>
    </sheetView>
  </sheetViews>
  <sheetFormatPr defaultRowHeight="12.75"/>
  <cols>
    <col min="1" max="1" width="2.25" style="153" customWidth="1"/>
    <col min="2" max="2" width="19.625" style="154" customWidth="1"/>
    <col min="3" max="3" width="9.25" style="153" customWidth="1"/>
    <col min="4" max="4" width="14.5" style="153" customWidth="1"/>
    <col min="5" max="5" width="8" style="153" customWidth="1"/>
    <col min="6" max="6" width="31.125" style="153" customWidth="1"/>
    <col min="7" max="7" width="31" style="153" customWidth="1"/>
    <col min="8" max="16384" width="9" style="153"/>
  </cols>
  <sheetData>
    <row r="2" spans="1:7" s="150" customFormat="1" ht="75.75" customHeight="1">
      <c r="A2" s="155"/>
      <c r="B2" s="156"/>
      <c r="C2" s="183" t="s">
        <v>0</v>
      </c>
      <c r="D2" s="183"/>
      <c r="E2" s="183"/>
      <c r="F2" s="183"/>
      <c r="G2" s="183"/>
    </row>
    <row r="3" spans="1:7">
      <c r="B3" s="157"/>
      <c r="C3" s="158"/>
      <c r="F3" s="1"/>
    </row>
    <row r="4" spans="1:7" ht="14.25" customHeight="1">
      <c r="B4" s="6" t="s">
        <v>1</v>
      </c>
      <c r="C4" s="184" t="s">
        <v>2</v>
      </c>
      <c r="D4" s="184"/>
      <c r="E4" s="184"/>
      <c r="F4" s="6" t="s">
        <v>3</v>
      </c>
      <c r="G4" s="159"/>
    </row>
    <row r="5" spans="1:7" ht="14.25" customHeight="1">
      <c r="B5" s="6" t="s">
        <v>4</v>
      </c>
      <c r="C5" s="184" t="s">
        <v>5</v>
      </c>
      <c r="D5" s="184"/>
      <c r="E5" s="184"/>
      <c r="F5" s="6" t="s">
        <v>6</v>
      </c>
      <c r="G5" s="159"/>
    </row>
    <row r="6" spans="1:7" ht="15.75" customHeight="1">
      <c r="B6" s="185" t="s">
        <v>7</v>
      </c>
      <c r="C6" s="186" t="str">
        <f>C5&amp;"_"&amp;"XXX"&amp;"_"&amp;"vx.x"</f>
        <v>&lt;Project Code&gt;_XXX_vx.x</v>
      </c>
      <c r="D6" s="186"/>
      <c r="E6" s="186"/>
      <c r="F6" s="6" t="s">
        <v>8</v>
      </c>
      <c r="G6" s="160"/>
    </row>
    <row r="7" spans="1:7" ht="13.5" customHeight="1">
      <c r="B7" s="185"/>
      <c r="C7" s="186"/>
      <c r="D7" s="186"/>
      <c r="E7" s="186"/>
      <c r="F7" s="6" t="s">
        <v>9</v>
      </c>
      <c r="G7" s="160"/>
    </row>
    <row r="8" spans="1:7">
      <c r="B8" s="161"/>
      <c r="C8" s="162"/>
      <c r="D8" s="163"/>
      <c r="E8" s="163"/>
      <c r="F8" s="164"/>
      <c r="G8" s="165"/>
    </row>
    <row r="9" spans="1:7">
      <c r="B9" s="166"/>
      <c r="C9" s="167"/>
      <c r="D9" s="167"/>
      <c r="E9" s="167"/>
      <c r="F9" s="167"/>
    </row>
    <row r="10" spans="1:7">
      <c r="B10" s="168" t="s">
        <v>10</v>
      </c>
    </row>
    <row r="11" spans="1:7" s="151" customFormat="1">
      <c r="B11" s="169" t="s">
        <v>11</v>
      </c>
      <c r="C11" s="170" t="s">
        <v>9</v>
      </c>
      <c r="D11" s="170" t="s">
        <v>12</v>
      </c>
      <c r="E11" s="170" t="s">
        <v>13</v>
      </c>
      <c r="F11" s="170" t="s">
        <v>14</v>
      </c>
      <c r="G11" s="171" t="s">
        <v>15</v>
      </c>
    </row>
    <row r="12" spans="1:7" s="152" customFormat="1" ht="25.5">
      <c r="B12" s="172" t="s">
        <v>16</v>
      </c>
      <c r="C12" s="173"/>
      <c r="D12" s="174"/>
      <c r="E12" s="174"/>
      <c r="F12" s="175"/>
      <c r="G12" s="176" t="s">
        <v>17</v>
      </c>
    </row>
    <row r="13" spans="1:7" s="152" customFormat="1" ht="21.75" customHeight="1">
      <c r="B13" s="177"/>
      <c r="C13" s="173"/>
      <c r="D13" s="174"/>
      <c r="E13" s="174"/>
      <c r="F13" s="174"/>
      <c r="G13" s="178"/>
    </row>
    <row r="14" spans="1:7" s="152" customFormat="1" ht="19.5" customHeight="1">
      <c r="B14" s="177"/>
      <c r="C14" s="173"/>
      <c r="D14" s="174"/>
      <c r="E14" s="174"/>
      <c r="F14" s="174"/>
      <c r="G14" s="178"/>
    </row>
    <row r="15" spans="1:7" s="152" customFormat="1" ht="21.75" customHeight="1">
      <c r="B15" s="177"/>
      <c r="C15" s="173"/>
      <c r="D15" s="174"/>
      <c r="E15" s="174"/>
      <c r="F15" s="174"/>
      <c r="G15" s="178"/>
    </row>
    <row r="16" spans="1:7" s="152" customFormat="1" ht="19.5" customHeight="1">
      <c r="B16" s="177"/>
      <c r="C16" s="173"/>
      <c r="D16" s="174"/>
      <c r="E16" s="174"/>
      <c r="F16" s="174"/>
      <c r="G16" s="178"/>
    </row>
    <row r="17" spans="2:7" s="152" customFormat="1" ht="21.75" customHeight="1">
      <c r="B17" s="177"/>
      <c r="C17" s="173"/>
      <c r="D17" s="174"/>
      <c r="E17" s="174"/>
      <c r="F17" s="174"/>
      <c r="G17" s="178"/>
    </row>
    <row r="18" spans="2:7" s="152" customFormat="1" ht="19.5" customHeight="1">
      <c r="B18" s="179"/>
      <c r="C18" s="180"/>
      <c r="D18" s="181"/>
      <c r="E18" s="181"/>
      <c r="F18" s="181"/>
      <c r="G18" s="182"/>
    </row>
  </sheetData>
  <mergeCells count="5">
    <mergeCell ref="C2:G2"/>
    <mergeCell ref="C4:E4"/>
    <mergeCell ref="C5:E5"/>
    <mergeCell ref="B6:B7"/>
    <mergeCell ref="C6:E7"/>
  </mergeCells>
  <pageMargins left="0.47013888888888888" right="0.47013888888888888" top="0.5" bottom="0.35138888888888886" header="0.51180555555555562" footer="0.1701388888888889"/>
  <pageSetup paperSize="9" orientation="landscape" horizontalDpi="300" verticalDpi="300"/>
  <headerFooter alignWithMargins="0">
    <oddFooter>&amp;L&amp;"Tahoma,Regular"&amp;8 02ae-BM/PM/HDCV/FSOFT v2/0&amp;C&amp;"Tahoma,Regular"&amp;8Internal use&amp;R&amp;"tahomaTahoma,Regular"&amp;8&amp;P/&amp;N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7"/>
  <sheetViews>
    <sheetView tabSelected="1" workbookViewId="0">
      <selection activeCell="C20" sqref="C20"/>
    </sheetView>
  </sheetViews>
  <sheetFormatPr defaultRowHeight="12.75"/>
  <cols>
    <col min="1" max="1" width="1.375" style="1" customWidth="1"/>
    <col min="2" max="2" width="11.75" style="128" customWidth="1"/>
    <col min="3" max="3" width="26.5" style="129" customWidth="1"/>
    <col min="4" max="4" width="17.125" style="129" customWidth="1"/>
    <col min="5" max="5" width="28.125" style="129" customWidth="1"/>
    <col min="6" max="6" width="30.625" style="129" customWidth="1"/>
    <col min="7" max="16384" width="9" style="1"/>
  </cols>
  <sheetData>
    <row r="1" spans="2:6" ht="25.5">
      <c r="B1" s="130"/>
      <c r="D1" s="131" t="s">
        <v>18</v>
      </c>
      <c r="E1" s="132"/>
    </row>
    <row r="2" spans="2:6" ht="13.5" customHeight="1">
      <c r="B2" s="130"/>
      <c r="D2" s="133"/>
      <c r="E2" s="133"/>
    </row>
    <row r="3" spans="2:6">
      <c r="B3" s="187" t="s">
        <v>1</v>
      </c>
      <c r="C3" s="187"/>
      <c r="D3" s="188" t="str">
        <f>Cover!C4</f>
        <v>&lt;Project Name&gt;</v>
      </c>
      <c r="E3" s="188"/>
      <c r="F3" s="188"/>
    </row>
    <row r="4" spans="2:6">
      <c r="B4" s="187" t="s">
        <v>4</v>
      </c>
      <c r="C4" s="187"/>
      <c r="D4" s="188" t="str">
        <f>Cover!C5</f>
        <v>&lt;Project Code&gt;</v>
      </c>
      <c r="E4" s="188"/>
      <c r="F4" s="188"/>
    </row>
    <row r="5" spans="2:6" s="45" customFormat="1" ht="84.75" customHeight="1">
      <c r="B5" s="189" t="s">
        <v>19</v>
      </c>
      <c r="C5" s="189"/>
      <c r="D5" s="190" t="s">
        <v>20</v>
      </c>
      <c r="E5" s="190"/>
      <c r="F5" s="190"/>
    </row>
    <row r="6" spans="2:6">
      <c r="B6" s="134"/>
      <c r="C6" s="121"/>
      <c r="D6" s="121"/>
      <c r="E6" s="121"/>
      <c r="F6" s="121"/>
    </row>
    <row r="7" spans="2:6" s="126" customFormat="1">
      <c r="B7" s="135"/>
      <c r="C7" s="136"/>
      <c r="D7" s="136"/>
      <c r="E7" s="136"/>
      <c r="F7" s="136"/>
    </row>
    <row r="8" spans="2:6" s="127" customFormat="1" ht="21" customHeight="1">
      <c r="B8" s="137" t="s">
        <v>21</v>
      </c>
      <c r="C8" s="138" t="s">
        <v>22</v>
      </c>
      <c r="D8" s="138" t="s">
        <v>23</v>
      </c>
      <c r="E8" s="139" t="s">
        <v>24</v>
      </c>
      <c r="F8" s="140" t="s">
        <v>25</v>
      </c>
    </row>
    <row r="9" spans="2:6" ht="15">
      <c r="B9" s="141">
        <v>1</v>
      </c>
      <c r="C9" s="198" t="s">
        <v>78</v>
      </c>
      <c r="D9" s="143"/>
      <c r="E9" s="143"/>
      <c r="F9" s="144"/>
    </row>
    <row r="10" spans="2:6">
      <c r="B10" s="141"/>
      <c r="C10" s="142"/>
      <c r="D10" s="145"/>
      <c r="E10" s="145"/>
      <c r="F10" s="144"/>
    </row>
    <row r="11" spans="2:6">
      <c r="B11" s="141"/>
      <c r="C11" s="142"/>
      <c r="D11" s="145"/>
      <c r="E11" s="145"/>
      <c r="F11" s="144"/>
    </row>
    <row r="12" spans="2:6">
      <c r="B12" s="141"/>
      <c r="C12" s="142"/>
      <c r="D12" s="145"/>
      <c r="E12" s="145"/>
      <c r="F12" s="144"/>
    </row>
    <row r="13" spans="2:6">
      <c r="B13" s="141"/>
      <c r="C13" s="142"/>
      <c r="D13" s="145"/>
      <c r="E13" s="145"/>
      <c r="F13" s="144"/>
    </row>
    <row r="14" spans="2:6">
      <c r="B14" s="141"/>
      <c r="C14" s="142"/>
      <c r="D14" s="145"/>
      <c r="E14" s="145"/>
      <c r="F14" s="144"/>
    </row>
    <row r="15" spans="2:6">
      <c r="B15" s="141"/>
      <c r="C15" s="142"/>
      <c r="D15" s="145"/>
      <c r="E15" s="145"/>
      <c r="F15" s="144"/>
    </row>
    <row r="16" spans="2:6">
      <c r="B16" s="141"/>
      <c r="C16" s="142"/>
      <c r="D16" s="145"/>
      <c r="E16" s="145"/>
      <c r="F16" s="144"/>
    </row>
    <row r="17" spans="2:6">
      <c r="B17" s="146"/>
      <c r="C17" s="147"/>
      <c r="D17" s="148"/>
      <c r="E17" s="148"/>
      <c r="F17" s="149"/>
    </row>
  </sheetData>
  <mergeCells count="6">
    <mergeCell ref="B3:C3"/>
    <mergeCell ref="D3:F3"/>
    <mergeCell ref="B4:C4"/>
    <mergeCell ref="D4:F4"/>
    <mergeCell ref="B5:C5"/>
    <mergeCell ref="D5:F5"/>
  </mergeCells>
  <pageMargins left="0.74791666666666667" right="0.74791666666666667" top="0.98402777777777772" bottom="1.1506944444444445" header="0.51180555555555562" footer="0.98402777777777772"/>
  <pageSetup paperSize="9"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zoomScale="85" workbookViewId="0">
      <pane ySplit="8" topLeftCell="A9" activePane="bottomLeft" state="frozen"/>
      <selection pane="bottomLeft" activeCell="B2" sqref="B2:F2"/>
    </sheetView>
  </sheetViews>
  <sheetFormatPr defaultRowHeight="12.75"/>
  <cols>
    <col min="1" max="1" width="11.75" style="1" customWidth="1"/>
    <col min="2" max="2" width="19.125" style="1" customWidth="1"/>
    <col min="3" max="3" width="32.125" style="1" customWidth="1"/>
    <col min="4" max="4" width="28.5" style="1" customWidth="1"/>
    <col min="5" max="5" width="15" style="1" customWidth="1"/>
    <col min="6" max="6" width="7.125" style="1" customWidth="1"/>
    <col min="7" max="7" width="11.75" style="39" customWidth="1"/>
    <col min="8" max="8" width="31.875" style="1" customWidth="1"/>
    <col min="9" max="9" width="8.25" style="40" customWidth="1"/>
    <col min="10" max="10" width="9" style="1" hidden="1" customWidth="1"/>
    <col min="11" max="16384" width="9" style="1"/>
  </cols>
  <sheetData>
    <row r="1" spans="1:10" s="37" customFormat="1">
      <c r="A1" s="41"/>
      <c r="B1" s="42"/>
      <c r="C1" s="42"/>
      <c r="D1" s="42"/>
      <c r="E1" s="42"/>
      <c r="F1" s="43"/>
      <c r="G1" s="44"/>
      <c r="H1" s="45"/>
      <c r="I1" s="58"/>
    </row>
    <row r="2" spans="1:10" s="37" customFormat="1" ht="15" customHeight="1">
      <c r="A2" s="46" t="s">
        <v>26</v>
      </c>
      <c r="B2" s="191" t="s">
        <v>41</v>
      </c>
      <c r="C2" s="191"/>
      <c r="D2" s="191"/>
      <c r="E2" s="191"/>
      <c r="F2" s="191"/>
      <c r="G2" s="47"/>
      <c r="H2" s="45"/>
      <c r="I2" s="58"/>
      <c r="J2" s="37" t="s">
        <v>27</v>
      </c>
    </row>
    <row r="3" spans="1:10" s="37" customFormat="1" ht="25.5" customHeight="1">
      <c r="A3" s="48" t="s">
        <v>28</v>
      </c>
      <c r="B3" s="191" t="s">
        <v>42</v>
      </c>
      <c r="C3" s="191"/>
      <c r="D3" s="191"/>
      <c r="E3" s="191"/>
      <c r="F3" s="191"/>
      <c r="G3" s="47"/>
      <c r="H3" s="45"/>
      <c r="I3" s="58"/>
      <c r="J3" s="37" t="s">
        <v>29</v>
      </c>
    </row>
    <row r="4" spans="1:10" s="37" customFormat="1" ht="18" customHeight="1">
      <c r="A4" s="46" t="s">
        <v>30</v>
      </c>
      <c r="B4" s="192"/>
      <c r="C4" s="192"/>
      <c r="D4" s="192"/>
      <c r="E4" s="192"/>
      <c r="F4" s="192"/>
      <c r="G4" s="47"/>
      <c r="H4" s="45"/>
      <c r="I4" s="58"/>
      <c r="J4" s="59"/>
    </row>
    <row r="5" spans="1:10" s="37" customFormat="1" ht="19.5" customHeight="1">
      <c r="A5" s="49" t="s">
        <v>27</v>
      </c>
      <c r="B5" s="50" t="s">
        <v>29</v>
      </c>
      <c r="C5" s="50" t="s">
        <v>31</v>
      </c>
      <c r="D5" s="51" t="s">
        <v>32</v>
      </c>
      <c r="E5" s="193" t="s">
        <v>33</v>
      </c>
      <c r="F5" s="193"/>
      <c r="G5" s="52"/>
      <c r="H5" s="52"/>
      <c r="I5" s="60"/>
      <c r="J5" s="37" t="s">
        <v>34</v>
      </c>
    </row>
    <row r="6" spans="1:10" s="37" customFormat="1" ht="15" customHeight="1">
      <c r="A6" s="65">
        <f>COUNTIF(F9:F997,"Pass")</f>
        <v>0</v>
      </c>
      <c r="B6" s="53">
        <f>COUNTIF(F9:F997,"Fail")</f>
        <v>0</v>
      </c>
      <c r="C6" s="53">
        <f>E6-D6-B6-A6</f>
        <v>5</v>
      </c>
      <c r="D6" s="54">
        <f>COUNTIF(F$9:F$997,"N/A")</f>
        <v>0</v>
      </c>
      <c r="E6" s="194">
        <f>COUNTA(A9:A997)</f>
        <v>5</v>
      </c>
      <c r="F6" s="194"/>
      <c r="G6" s="52"/>
      <c r="H6" s="52"/>
      <c r="I6" s="60"/>
      <c r="J6" s="37" t="s">
        <v>32</v>
      </c>
    </row>
    <row r="7" spans="1:10" s="37" customFormat="1" ht="15" customHeight="1">
      <c r="D7" s="36"/>
      <c r="E7" s="36"/>
      <c r="F7" s="52"/>
      <c r="G7" s="52"/>
      <c r="H7" s="52"/>
      <c r="I7" s="60"/>
    </row>
    <row r="8" spans="1:10" s="37" customFormat="1" ht="25.5" customHeight="1">
      <c r="A8" s="56" t="s">
        <v>35</v>
      </c>
      <c r="B8" s="56" t="s">
        <v>36</v>
      </c>
      <c r="C8" s="56" t="s">
        <v>37</v>
      </c>
      <c r="D8" s="56" t="s">
        <v>38</v>
      </c>
      <c r="E8" s="56" t="s">
        <v>39</v>
      </c>
      <c r="F8" s="56" t="s">
        <v>40</v>
      </c>
      <c r="G8" s="56" t="s">
        <v>39</v>
      </c>
      <c r="H8" s="55" t="s">
        <v>24</v>
      </c>
      <c r="I8" s="61"/>
    </row>
    <row r="9" spans="1:10" s="38" customFormat="1" ht="85.5" customHeight="1">
      <c r="A9" s="107" t="s">
        <v>43</v>
      </c>
      <c r="B9" s="108" t="s">
        <v>44</v>
      </c>
      <c r="C9" s="109" t="s">
        <v>45</v>
      </c>
      <c r="D9" s="109" t="s">
        <v>46</v>
      </c>
      <c r="E9" s="110" t="s">
        <v>47</v>
      </c>
      <c r="F9" s="111"/>
      <c r="G9" s="66"/>
      <c r="H9" s="67"/>
      <c r="I9" s="63"/>
    </row>
    <row r="10" spans="1:10" s="38" customFormat="1" ht="114">
      <c r="A10" s="112" t="s">
        <v>48</v>
      </c>
      <c r="B10" s="113" t="s">
        <v>49</v>
      </c>
      <c r="C10" s="114" t="s">
        <v>50</v>
      </c>
      <c r="D10" s="114" t="s">
        <v>51</v>
      </c>
      <c r="E10" s="115" t="s">
        <v>52</v>
      </c>
      <c r="F10" s="111"/>
      <c r="G10" s="66"/>
      <c r="H10" s="67"/>
      <c r="I10" s="63"/>
    </row>
    <row r="11" spans="1:10" ht="99.75">
      <c r="A11" s="112" t="s">
        <v>53</v>
      </c>
      <c r="B11" s="113" t="s">
        <v>54</v>
      </c>
      <c r="C11" s="114" t="s">
        <v>55</v>
      </c>
      <c r="D11" s="114" t="s">
        <v>56</v>
      </c>
      <c r="E11" s="116" t="s">
        <v>57</v>
      </c>
      <c r="F11" s="57"/>
      <c r="G11" s="57"/>
      <c r="H11" s="68"/>
      <c r="I11" s="63"/>
    </row>
    <row r="12" spans="1:10" ht="114">
      <c r="A12" s="112" t="s">
        <v>58</v>
      </c>
      <c r="B12" s="113" t="s">
        <v>59</v>
      </c>
      <c r="C12" s="114" t="s">
        <v>60</v>
      </c>
      <c r="D12" s="114" t="s">
        <v>61</v>
      </c>
      <c r="E12" s="115" t="s">
        <v>62</v>
      </c>
      <c r="F12" s="57"/>
      <c r="G12" s="57"/>
      <c r="H12" s="68"/>
      <c r="I12" s="63"/>
    </row>
    <row r="13" spans="1:10" s="37" customFormat="1" ht="57">
      <c r="A13" s="117" t="s">
        <v>63</v>
      </c>
      <c r="B13" s="118" t="s">
        <v>64</v>
      </c>
      <c r="C13" s="119" t="s">
        <v>65</v>
      </c>
      <c r="D13" s="119" t="s">
        <v>66</v>
      </c>
      <c r="E13" s="120" t="s">
        <v>67</v>
      </c>
      <c r="F13" s="57"/>
      <c r="G13" s="57"/>
      <c r="H13" s="68"/>
      <c r="I13" s="62"/>
    </row>
    <row r="14" spans="1:10">
      <c r="A14" s="69"/>
      <c r="B14" s="69"/>
      <c r="C14" s="69"/>
      <c r="D14" s="69"/>
      <c r="E14" s="69"/>
      <c r="F14" s="69"/>
      <c r="G14" s="121"/>
      <c r="H14" s="122"/>
      <c r="I14" s="63"/>
    </row>
    <row r="15" spans="1:10">
      <c r="A15" s="123"/>
      <c r="B15" s="123"/>
      <c r="C15" s="124"/>
      <c r="D15" s="124"/>
      <c r="E15" s="124"/>
      <c r="F15" s="124"/>
      <c r="G15" s="124"/>
      <c r="H15" s="125"/>
      <c r="I15" s="64"/>
    </row>
    <row r="16" spans="1:10" s="37" customFormat="1" ht="15.75" customHeight="1">
      <c r="A16" s="69"/>
      <c r="B16" s="69"/>
      <c r="C16" s="69"/>
      <c r="D16" s="69"/>
      <c r="E16" s="69"/>
      <c r="F16" s="69"/>
      <c r="G16" s="69"/>
      <c r="H16" s="70"/>
      <c r="I16" s="62"/>
    </row>
    <row r="17" spans="2:9">
      <c r="I17" s="63"/>
    </row>
    <row r="18" spans="2:9" ht="12.75" customHeight="1">
      <c r="B18" s="71"/>
      <c r="C18" s="72"/>
      <c r="D18" s="73"/>
      <c r="E18" s="74"/>
      <c r="F18" s="74"/>
      <c r="G18" s="75"/>
      <c r="H18" s="76"/>
    </row>
    <row r="19" spans="2:9">
      <c r="B19" s="77"/>
      <c r="C19" s="78"/>
      <c r="D19" s="79"/>
      <c r="E19" s="80"/>
      <c r="F19" s="81"/>
      <c r="G19" s="82"/>
      <c r="H19" s="83"/>
    </row>
    <row r="20" spans="2:9" ht="15">
      <c r="B20" s="84"/>
      <c r="C20" s="85"/>
      <c r="D20" s="86"/>
      <c r="E20" s="86"/>
      <c r="F20" s="86"/>
      <c r="G20" s="82"/>
      <c r="H20" s="83"/>
    </row>
    <row r="21" spans="2:9" ht="15">
      <c r="B21" s="87"/>
      <c r="C21" s="88"/>
      <c r="D21" s="89"/>
      <c r="E21" s="89"/>
      <c r="F21" s="89"/>
      <c r="G21" s="82"/>
      <c r="H21" s="83"/>
    </row>
    <row r="22" spans="2:9" ht="15">
      <c r="B22" s="90"/>
      <c r="C22" s="88"/>
      <c r="D22" s="91"/>
      <c r="E22" s="91"/>
      <c r="F22" s="92"/>
      <c r="G22" s="82"/>
      <c r="H22" s="83"/>
    </row>
    <row r="23" spans="2:9" ht="15">
      <c r="B23" s="90"/>
      <c r="C23" s="88"/>
      <c r="D23" s="91"/>
      <c r="E23" s="91"/>
      <c r="F23" s="92"/>
      <c r="G23" s="82"/>
      <c r="H23" s="83"/>
    </row>
    <row r="24" spans="2:9" ht="15">
      <c r="B24" s="90"/>
      <c r="C24" s="88"/>
      <c r="D24" s="91"/>
      <c r="E24" s="91"/>
      <c r="F24" s="92"/>
      <c r="G24" s="82"/>
      <c r="H24" s="83"/>
    </row>
    <row r="25" spans="2:9" ht="15">
      <c r="B25" s="90"/>
      <c r="C25" s="88"/>
      <c r="D25" s="91"/>
      <c r="E25" s="91"/>
      <c r="F25" s="92"/>
      <c r="G25" s="82"/>
      <c r="H25" s="83"/>
    </row>
    <row r="26" spans="2:9" ht="15">
      <c r="B26" s="90"/>
      <c r="C26" s="88"/>
      <c r="D26" s="91"/>
      <c r="E26" s="91"/>
      <c r="F26" s="92"/>
      <c r="G26" s="82"/>
      <c r="H26" s="93"/>
    </row>
    <row r="27" spans="2:9" ht="15.75" customHeight="1">
      <c r="B27" s="90"/>
      <c r="C27" s="88"/>
      <c r="D27" s="91"/>
      <c r="E27" s="91"/>
      <c r="F27" s="92"/>
      <c r="G27" s="82"/>
      <c r="H27" s="83"/>
    </row>
    <row r="28" spans="2:9">
      <c r="B28" s="87"/>
      <c r="C28" s="89"/>
      <c r="D28" s="89"/>
      <c r="E28" s="89"/>
      <c r="F28" s="89"/>
      <c r="G28" s="82"/>
      <c r="H28" s="83"/>
    </row>
    <row r="29" spans="2:9" ht="15">
      <c r="B29" s="90"/>
      <c r="C29" s="86"/>
      <c r="D29" s="91"/>
      <c r="E29" s="91"/>
      <c r="F29" s="91"/>
      <c r="G29" s="82"/>
      <c r="H29" s="83"/>
    </row>
    <row r="30" spans="2:9" ht="15">
      <c r="B30" s="90"/>
      <c r="C30" s="86"/>
      <c r="D30" s="91"/>
      <c r="E30" s="91"/>
      <c r="F30" s="91"/>
      <c r="G30" s="82"/>
      <c r="H30" s="83"/>
    </row>
    <row r="31" spans="2:9" ht="15">
      <c r="B31" s="90"/>
      <c r="C31" s="86"/>
      <c r="D31" s="91"/>
      <c r="E31" s="91"/>
      <c r="F31" s="94"/>
      <c r="G31" s="82"/>
      <c r="H31" s="83"/>
    </row>
    <row r="32" spans="2:9" ht="15">
      <c r="B32" s="95"/>
      <c r="C32" s="96"/>
      <c r="D32" s="97"/>
      <c r="E32" s="97"/>
      <c r="F32" s="98"/>
      <c r="G32" s="99"/>
      <c r="H32" s="83"/>
    </row>
    <row r="33" spans="2:8" ht="15">
      <c r="B33" s="90"/>
      <c r="C33" s="86"/>
      <c r="D33" s="91"/>
      <c r="E33" s="91"/>
      <c r="F33" s="94"/>
      <c r="G33" s="100"/>
      <c r="H33" s="83"/>
    </row>
    <row r="34" spans="2:8" ht="15">
      <c r="B34" s="90"/>
      <c r="C34" s="86"/>
      <c r="D34" s="91"/>
      <c r="E34" s="91"/>
      <c r="F34" s="94"/>
      <c r="G34" s="100"/>
      <c r="H34" s="83"/>
    </row>
    <row r="35" spans="2:8" ht="15">
      <c r="B35" s="90"/>
      <c r="C35" s="86"/>
      <c r="D35" s="91"/>
      <c r="E35" s="91"/>
      <c r="F35" s="94"/>
      <c r="G35" s="100"/>
      <c r="H35" s="83"/>
    </row>
    <row r="36" spans="2:8" ht="15.75" customHeight="1">
      <c r="B36" s="90"/>
      <c r="C36" s="86"/>
      <c r="D36" s="91"/>
      <c r="E36" s="91"/>
      <c r="F36" s="94"/>
      <c r="G36" s="100"/>
      <c r="H36" s="83"/>
    </row>
    <row r="37" spans="2:8">
      <c r="B37" s="87"/>
      <c r="C37" s="89"/>
      <c r="D37" s="89"/>
      <c r="E37" s="89"/>
      <c r="F37" s="89"/>
      <c r="G37" s="100"/>
      <c r="H37" s="83"/>
    </row>
    <row r="38" spans="2:8" ht="15">
      <c r="B38" s="90"/>
      <c r="C38" s="86"/>
      <c r="D38" s="91"/>
      <c r="E38" s="91"/>
      <c r="F38" s="92"/>
      <c r="G38" s="100"/>
      <c r="H38" s="83"/>
    </row>
    <row r="39" spans="2:8" ht="15">
      <c r="B39" s="90"/>
      <c r="C39" s="86"/>
      <c r="D39" s="91"/>
      <c r="E39" s="91"/>
      <c r="F39" s="92"/>
      <c r="G39" s="100"/>
      <c r="H39" s="83"/>
    </row>
    <row r="40" spans="2:8" ht="15">
      <c r="B40" s="90"/>
      <c r="C40" s="86"/>
      <c r="D40" s="91"/>
      <c r="E40" s="91"/>
      <c r="F40" s="92"/>
      <c r="G40" s="100"/>
      <c r="H40" s="83"/>
    </row>
    <row r="41" spans="2:8" ht="15">
      <c r="B41" s="90"/>
      <c r="C41" s="86"/>
      <c r="D41" s="91"/>
      <c r="E41" s="91"/>
      <c r="F41" s="92"/>
      <c r="G41" s="100"/>
      <c r="H41" s="83"/>
    </row>
    <row r="42" spans="2:8" ht="15">
      <c r="B42" s="90"/>
      <c r="C42" s="86"/>
      <c r="D42" s="91"/>
      <c r="E42" s="91"/>
      <c r="F42" s="92"/>
      <c r="G42" s="100"/>
      <c r="H42" s="83"/>
    </row>
    <row r="43" spans="2:8" ht="15">
      <c r="B43" s="90"/>
      <c r="C43" s="86"/>
      <c r="D43" s="91"/>
      <c r="E43" s="91"/>
      <c r="F43" s="92"/>
      <c r="G43" s="100"/>
      <c r="H43" s="83"/>
    </row>
    <row r="44" spans="2:8" ht="15">
      <c r="B44" s="90"/>
      <c r="C44" s="86"/>
      <c r="D44" s="91"/>
      <c r="E44" s="91"/>
      <c r="F44" s="92"/>
      <c r="G44" s="100"/>
      <c r="H44" s="83"/>
    </row>
    <row r="45" spans="2:8" ht="15">
      <c r="B45" s="90"/>
      <c r="C45" s="86"/>
      <c r="D45" s="91"/>
      <c r="E45" s="91"/>
      <c r="F45" s="92"/>
      <c r="G45" s="100"/>
      <c r="H45" s="83"/>
    </row>
    <row r="46" spans="2:8">
      <c r="B46" s="87"/>
      <c r="C46" s="89"/>
      <c r="D46" s="89"/>
      <c r="E46" s="89"/>
      <c r="F46" s="89"/>
      <c r="G46" s="100"/>
      <c r="H46" s="83"/>
    </row>
    <row r="47" spans="2:8" ht="15">
      <c r="B47" s="90"/>
      <c r="C47" s="86"/>
      <c r="D47" s="91"/>
      <c r="E47" s="91"/>
      <c r="F47" s="91"/>
      <c r="G47" s="100"/>
      <c r="H47" s="83"/>
    </row>
    <row r="48" spans="2:8" ht="15">
      <c r="B48" s="90"/>
      <c r="C48" s="86"/>
      <c r="D48" s="91"/>
      <c r="E48" s="91"/>
      <c r="F48" s="91"/>
      <c r="G48" s="100"/>
      <c r="H48" s="83"/>
    </row>
    <row r="49" spans="2:8" ht="15">
      <c r="B49" s="90"/>
      <c r="C49" s="86"/>
      <c r="D49" s="91"/>
      <c r="E49" s="91"/>
      <c r="F49" s="91"/>
      <c r="G49" s="100"/>
      <c r="H49" s="83"/>
    </row>
    <row r="50" spans="2:8" ht="15">
      <c r="B50" s="90"/>
      <c r="C50" s="86"/>
      <c r="D50" s="91"/>
      <c r="E50" s="91"/>
      <c r="F50" s="91"/>
      <c r="G50" s="100"/>
      <c r="H50" s="83"/>
    </row>
    <row r="51" spans="2:8" ht="15">
      <c r="B51" s="101"/>
      <c r="C51" s="102"/>
      <c r="D51" s="103"/>
      <c r="E51" s="103"/>
      <c r="F51" s="103"/>
      <c r="G51" s="104"/>
      <c r="H51" s="105"/>
    </row>
    <row r="52" spans="2:8" ht="15">
      <c r="B52" s="90"/>
      <c r="C52" s="86"/>
      <c r="D52" s="91"/>
      <c r="E52" s="91"/>
      <c r="F52" s="91"/>
      <c r="G52" s="100"/>
    </row>
    <row r="53" spans="2:8" ht="15">
      <c r="B53" s="90"/>
      <c r="C53" s="86"/>
      <c r="D53" s="91"/>
      <c r="E53" s="91"/>
      <c r="F53" s="91"/>
      <c r="G53" s="100"/>
    </row>
    <row r="54" spans="2:8" ht="15">
      <c r="B54" s="90"/>
      <c r="C54" s="86"/>
      <c r="D54" s="91"/>
      <c r="E54" s="91"/>
      <c r="F54" s="91"/>
      <c r="G54" s="100"/>
    </row>
    <row r="55" spans="2:8">
      <c r="B55" s="87"/>
      <c r="C55" s="89"/>
      <c r="D55" s="89"/>
      <c r="E55" s="89"/>
      <c r="F55" s="89"/>
      <c r="G55" s="100"/>
    </row>
    <row r="56" spans="2:8" ht="15">
      <c r="B56" s="90"/>
      <c r="C56" s="86"/>
      <c r="D56" s="91"/>
      <c r="E56" s="91"/>
      <c r="F56" s="91"/>
      <c r="G56" s="100"/>
    </row>
    <row r="57" spans="2:8" ht="15">
      <c r="B57" s="90"/>
      <c r="C57" s="86"/>
      <c r="D57" s="91"/>
      <c r="E57" s="91"/>
      <c r="F57" s="91"/>
      <c r="G57" s="100"/>
    </row>
    <row r="58" spans="2:8">
      <c r="B58" s="87"/>
      <c r="C58" s="89"/>
      <c r="D58" s="89"/>
      <c r="E58" s="89"/>
      <c r="F58" s="89"/>
      <c r="G58" s="100"/>
    </row>
    <row r="59" spans="2:8">
      <c r="B59" s="106"/>
      <c r="C59" s="80"/>
      <c r="D59" s="80"/>
      <c r="E59" s="80"/>
      <c r="F59" s="80"/>
      <c r="G59" s="104"/>
    </row>
    <row r="60" spans="2:8">
      <c r="B60" s="93"/>
      <c r="C60" s="93"/>
      <c r="D60" s="93"/>
      <c r="E60" s="93"/>
      <c r="F60" s="93"/>
      <c r="G60" s="75"/>
    </row>
    <row r="61" spans="2:8">
      <c r="B61" s="93"/>
      <c r="C61" s="93"/>
      <c r="D61" s="93"/>
      <c r="E61" s="93"/>
      <c r="F61" s="93"/>
      <c r="G61" s="75"/>
    </row>
    <row r="62" spans="2:8">
      <c r="B62" s="93"/>
      <c r="C62" s="93"/>
      <c r="D62" s="93"/>
      <c r="E62" s="93"/>
      <c r="F62" s="93"/>
      <c r="G62" s="75"/>
    </row>
    <row r="63" spans="2:8">
      <c r="C63" s="93"/>
      <c r="D63" s="93"/>
      <c r="E63" s="93"/>
      <c r="F63" s="93"/>
      <c r="G63" s="75"/>
    </row>
    <row r="64" spans="2:8">
      <c r="C64" s="93"/>
      <c r="D64" s="93"/>
      <c r="E64" s="93"/>
      <c r="F64" s="93"/>
      <c r="G64" s="75"/>
    </row>
    <row r="65" spans="3:7">
      <c r="C65" s="93"/>
      <c r="D65" s="93"/>
      <c r="E65" s="93"/>
      <c r="F65" s="93"/>
      <c r="G65" s="75"/>
    </row>
    <row r="66" spans="3:7">
      <c r="E66" s="93"/>
      <c r="F66" s="93"/>
      <c r="G66" s="75"/>
    </row>
    <row r="67" spans="3:7">
      <c r="E67" s="93"/>
      <c r="F67" s="93"/>
      <c r="G67" s="75"/>
    </row>
    <row r="68" spans="3:7">
      <c r="G68" s="75"/>
    </row>
  </sheetData>
  <mergeCells count="5">
    <mergeCell ref="B2:F2"/>
    <mergeCell ref="B3:F3"/>
    <mergeCell ref="B4:F4"/>
    <mergeCell ref="E5:F5"/>
    <mergeCell ref="E6:F6"/>
  </mergeCells>
  <dataValidations count="1">
    <dataValidation type="list" allowBlank="1" showErrorMessage="1" sqref="F1:F3 F7:F12 F13:F19 F58:F144">
      <formula1>$J$2:$J$6</formula1>
      <formula2>0</formula2>
    </dataValidation>
  </dataValidations>
  <pageMargins left="0.74791666666666667" right="0.25" top="0.75" bottom="0.98402777777777772" header="0.5" footer="0.5"/>
  <pageSetup paperSize="9"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election activeCell="E24" sqref="E24"/>
    </sheetView>
  </sheetViews>
  <sheetFormatPr defaultRowHeight="12.75"/>
  <cols>
    <col min="1" max="1" width="9" style="1"/>
    <col min="2" max="2" width="13.5" style="1" customWidth="1"/>
    <col min="3" max="3" width="19.375" style="1" customWidth="1"/>
    <col min="4" max="7" width="9" style="1"/>
    <col min="8" max="9" width="33.125" style="1" customWidth="1"/>
    <col min="10" max="16384" width="9" style="1"/>
  </cols>
  <sheetData>
    <row r="1" spans="1:8" ht="25.5" customHeight="1">
      <c r="B1" s="196" t="s">
        <v>68</v>
      </c>
      <c r="C1" s="196"/>
      <c r="D1" s="196"/>
      <c r="E1" s="196"/>
      <c r="F1" s="196"/>
      <c r="G1" s="196"/>
      <c r="H1" s="196"/>
    </row>
    <row r="2" spans="1:8" ht="14.25" customHeight="1">
      <c r="A2" s="2"/>
      <c r="B2" s="2"/>
      <c r="C2" s="3"/>
      <c r="D2" s="3"/>
      <c r="E2" s="3"/>
      <c r="F2" s="3"/>
      <c r="G2" s="3"/>
      <c r="H2" s="4"/>
    </row>
    <row r="3" spans="1:8" ht="12" customHeight="1">
      <c r="B3" s="5" t="s">
        <v>1</v>
      </c>
      <c r="C3" s="188" t="s">
        <v>2</v>
      </c>
      <c r="D3" s="188"/>
      <c r="E3" s="197" t="s">
        <v>3</v>
      </c>
      <c r="F3" s="197"/>
      <c r="G3" s="7"/>
      <c r="H3" s="8"/>
    </row>
    <row r="4" spans="1:8" ht="12" customHeight="1">
      <c r="B4" s="5" t="s">
        <v>4</v>
      </c>
      <c r="C4" s="188" t="s">
        <v>5</v>
      </c>
      <c r="D4" s="188"/>
      <c r="E4" s="197" t="s">
        <v>6</v>
      </c>
      <c r="F4" s="197"/>
      <c r="G4" s="7"/>
      <c r="H4" s="8"/>
    </row>
    <row r="5" spans="1:8" ht="12" customHeight="1">
      <c r="B5" s="9" t="s">
        <v>7</v>
      </c>
      <c r="C5" s="188" t="str">
        <f>C4&amp;"_"&amp;"Test Report"&amp;"_"&amp;"vx.x"</f>
        <v>&lt;Project Code&gt;_Test Report_vx.x</v>
      </c>
      <c r="D5" s="188"/>
      <c r="E5" s="197" t="s">
        <v>8</v>
      </c>
      <c r="F5" s="197"/>
      <c r="G5" s="7"/>
      <c r="H5" s="10" t="s">
        <v>69</v>
      </c>
    </row>
    <row r="6" spans="1:8" ht="21.75" customHeight="1">
      <c r="A6" s="2"/>
      <c r="B6" s="9" t="s">
        <v>70</v>
      </c>
      <c r="C6" s="195" t="s">
        <v>71</v>
      </c>
      <c r="D6" s="195"/>
      <c r="E6" s="195"/>
      <c r="F6" s="195"/>
      <c r="G6" s="195"/>
      <c r="H6" s="195"/>
    </row>
    <row r="7" spans="1:8" ht="14.25" customHeight="1">
      <c r="A7" s="2"/>
      <c r="B7" s="11"/>
      <c r="C7" s="12"/>
      <c r="D7" s="3"/>
      <c r="E7" s="3"/>
      <c r="F7" s="3"/>
      <c r="G7" s="3"/>
      <c r="H7" s="4"/>
    </row>
    <row r="8" spans="1:8">
      <c r="B8" s="11"/>
      <c r="C8" s="12"/>
      <c r="D8" s="3"/>
      <c r="E8" s="3"/>
      <c r="F8" s="3"/>
      <c r="G8" s="3"/>
      <c r="H8" s="4"/>
    </row>
    <row r="9" spans="1:8">
      <c r="A9" s="13"/>
      <c r="B9" s="13"/>
      <c r="C9" s="13"/>
      <c r="D9" s="13"/>
      <c r="E9" s="13"/>
      <c r="F9" s="13"/>
      <c r="G9" s="13"/>
      <c r="H9" s="13"/>
    </row>
    <row r="10" spans="1:8">
      <c r="A10" s="14"/>
      <c r="B10" s="15" t="s">
        <v>21</v>
      </c>
      <c r="C10" s="16" t="s">
        <v>72</v>
      </c>
      <c r="D10" s="17" t="s">
        <v>27</v>
      </c>
      <c r="E10" s="16" t="s">
        <v>29</v>
      </c>
      <c r="F10" s="16" t="s">
        <v>31</v>
      </c>
      <c r="G10" s="18" t="s">
        <v>32</v>
      </c>
      <c r="H10" s="19" t="s">
        <v>73</v>
      </c>
    </row>
    <row r="11" spans="1:8">
      <c r="A11" s="20"/>
      <c r="B11" s="21">
        <v>1</v>
      </c>
      <c r="C11" s="22" t="str">
        <f>'Security test case'!B2</f>
        <v>Module_Security</v>
      </c>
      <c r="D11" s="23">
        <f>'[1]Interface test case'!A6</f>
        <v>0</v>
      </c>
      <c r="E11" s="23">
        <f>'[1]Interface test case'!B6</f>
        <v>0</v>
      </c>
      <c r="F11" s="23">
        <f>'[1]Interface test case'!C6</f>
        <v>7</v>
      </c>
      <c r="G11" s="23">
        <f>'[1]Interface test case'!D6</f>
        <v>0</v>
      </c>
      <c r="H11" s="23">
        <f>'[1]Interface test case'!E6</f>
        <v>7</v>
      </c>
    </row>
    <row r="12" spans="1:8">
      <c r="A12" s="20"/>
      <c r="B12" s="21"/>
      <c r="C12" s="22"/>
      <c r="D12" s="23"/>
      <c r="E12" s="23"/>
      <c r="F12" s="23"/>
      <c r="G12" s="24"/>
      <c r="H12" s="25"/>
    </row>
    <row r="13" spans="1:8">
      <c r="A13" s="20"/>
      <c r="B13" s="26"/>
      <c r="C13" s="27" t="s">
        <v>74</v>
      </c>
      <c r="D13" s="28">
        <f>SUM(D9:D12)</f>
        <v>0</v>
      </c>
      <c r="E13" s="29">
        <f>SUM(E9:E12)</f>
        <v>0</v>
      </c>
      <c r="F13" s="29">
        <f>SUM(F9:F12)</f>
        <v>7</v>
      </c>
      <c r="G13" s="29">
        <f>SUM(G9:G12)</f>
        <v>0</v>
      </c>
      <c r="H13" s="30">
        <f>SUM(H9:H12)</f>
        <v>7</v>
      </c>
    </row>
    <row r="14" spans="1:8">
      <c r="A14" s="13"/>
      <c r="B14" s="31"/>
      <c r="C14" s="13"/>
      <c r="D14" s="32"/>
      <c r="E14" s="33"/>
      <c r="F14" s="33"/>
      <c r="G14" s="33"/>
      <c r="H14" s="33"/>
    </row>
    <row r="15" spans="1:8">
      <c r="A15" s="13"/>
      <c r="B15" s="13"/>
      <c r="C15" s="34" t="s">
        <v>75</v>
      </c>
      <c r="D15" s="13"/>
      <c r="E15" s="35">
        <f>(D13+E13)*100/(H13-G13)</f>
        <v>0</v>
      </c>
      <c r="F15" s="13" t="s">
        <v>76</v>
      </c>
      <c r="G15" s="13"/>
      <c r="H15" s="36"/>
    </row>
    <row r="16" spans="1:8">
      <c r="A16" s="13"/>
      <c r="B16" s="13"/>
      <c r="C16" s="34" t="s">
        <v>77</v>
      </c>
      <c r="D16" s="13"/>
      <c r="E16" s="35">
        <f>D13*100/(H13-G13)</f>
        <v>0</v>
      </c>
      <c r="F16" s="13" t="s">
        <v>76</v>
      </c>
      <c r="G16" s="13"/>
      <c r="H16" s="36"/>
    </row>
    <row r="17" spans="3:4">
      <c r="C17" s="13"/>
      <c r="D17" s="13"/>
    </row>
  </sheetData>
  <mergeCells count="8">
    <mergeCell ref="C6:H6"/>
    <mergeCell ref="B1:H1"/>
    <mergeCell ref="C3:D3"/>
    <mergeCell ref="E3:F3"/>
    <mergeCell ref="C4:D4"/>
    <mergeCell ref="E4:F4"/>
    <mergeCell ref="C5:D5"/>
    <mergeCell ref="E5:F5"/>
  </mergeCells>
  <pageMargins left="0.74791666666666667" right="0.74791666666666667" top="0.98402777777777772" bottom="0.98402777777777772" header="0.51180555555555562" footer="0.5"/>
  <pageSetup orientation="landscape" horizontalDpi="300" verticalDpi="300"/>
  <headerFooter alignWithMargins="0">
    <oddFooter>&amp;L&amp;"Tahoma,Regular"&amp;8 02ae-BM/PM/HDCV/FSOFT v2/0&amp;C&amp;"tahoma,Regular"&amp;8Internal use&amp;R&amp;"Tahoma,Regular"&amp;8&amp;P/&amp;N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plateUrl xmlns="http://schemas.microsoft.com/sharepoint/v3" xsi:nil="true"/>
    <Number_x0020_Of_x0020_Viewer xmlns="cd6d2771-e08b-42a3-90f8-eca630337659">0</Number_x0020_Of_x0020_Viewer>
    <_SourceUrl xmlns="http://schemas.microsoft.com/sharepoint/v3" xsi:nil="true"/>
    <Priority xmlns="41A7A25E-88C5-415C-AB9A-358CCBEA8A85" xsi:nil="true"/>
    <xd_ProgID xmlns="http://schemas.microsoft.com/sharepoint/v3" xsi:nil="true"/>
    <Order xmlns="http://schemas.microsoft.com/sharepoint/v3" xsi:nil="true"/>
    <_SharedFileIndex xmlns="http://schemas.microsoft.com/sharepoint/v3" xsi:nil="true"/>
    <MetaInfo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EA2A741C5885C41AB9A358CCBEA8A85" ma:contentTypeVersion="4" ma:contentTypeDescription="Create a new document." ma:contentTypeScope="" ma:versionID="b08c537a49adf1f0264621696145d4e8">
  <xsd:schema xmlns:xsd="http://www.w3.org/2001/XMLSchema" xmlns:p="http://schemas.microsoft.com/office/2006/metadata/properties" xmlns:ns1="http://schemas.microsoft.com/sharepoint/v3" xmlns:ns2="41A7A25E-88C5-415C-AB9A-358CCBEA8A85" xmlns:ns3="cd6d2771-e08b-42a3-90f8-eca630337659" targetNamespace="http://schemas.microsoft.com/office/2006/metadata/properties" ma:root="true" ma:fieldsID="79edc66073723f43766a972d30b274e4" ns1:_="" ns2:_="" ns3:_="">
    <xsd:import namespace="http://schemas.microsoft.com/sharepoint/v3"/>
    <xsd:import namespace="41A7A25E-88C5-415C-AB9A-358CCBEA8A85"/>
    <xsd:import namespace="cd6d2771-e08b-42a3-90f8-eca630337659"/>
    <xsd:element name="properties">
      <xsd:complexType>
        <xsd:sequence>
          <xsd:element name="documentManagement">
            <xsd:complexType>
              <xsd:all>
                <xsd:element ref="ns1:_ModerationComments" minOccurs="0"/>
                <xsd:element ref="ns1:File_x0020_Type" minOccurs="0"/>
                <xsd:element ref="ns1:HTML_x0020_File_x0020_Type" minOccurs="0"/>
                <xsd:element ref="ns1:_SourceUrl" minOccurs="0"/>
                <xsd:element ref="ns1:_SharedFileIndex" minOccurs="0"/>
                <xsd:element ref="ns2:Priority" minOccurs="0"/>
                <xsd:element ref="ns1:ContentTypeId" minOccurs="0"/>
                <xsd:element ref="ns1:TemplateUrl" minOccurs="0"/>
                <xsd:element ref="ns1:xd_ProgID" minOccurs="0"/>
                <xsd:element ref="ns1:xd_Signature" minOccurs="0"/>
                <xsd:element ref="ns3:Number_x0020_Of_x0020_Viewer" minOccurs="0"/>
                <xsd:element ref="ns1:ID" minOccurs="0"/>
                <xsd:element ref="ns1:Author" minOccurs="0"/>
                <xsd:element ref="ns1:Editor" minOccurs="0"/>
                <xsd:element ref="ns1:_HasCopyDestinations" minOccurs="0"/>
                <xsd:element ref="ns1:_CopySource" minOccurs="0"/>
                <xsd:element ref="ns1:_ModerationStatu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CheckedOutUserId" minOccurs="0"/>
                <xsd:element ref="ns1:IsCheckedoutToLocal" minOccurs="0"/>
                <xsd:element ref="ns1:CheckoutUser" minOccurs="0"/>
                <xsd:element ref="ns1:UniqueId" minOccurs="0"/>
                <xsd:element ref="ns1:ProgId" minOccurs="0"/>
                <xsd:element ref="ns1:ScopeId" minOccurs="0"/>
                <xsd:element ref="ns1:VirusStatus" minOccurs="0"/>
                <xsd:element ref="ns1:CheckedOutTitle" minOccurs="0"/>
                <xsd:element ref="ns1:_CheckinComment" minOccurs="0"/>
                <xsd:element ref="ns1:MetaInfo" minOccurs="0"/>
                <xsd:element ref="ns1:_Level" minOccurs="0"/>
                <xsd:element ref="ns1:_IsCurrentVersion"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_ModerationComments" ma:index="0" nillable="true" ma:displayName="Approver Comments" ma:hidden="true" ma:internalName="_ModerationComments" ma:readOnly="true">
      <xsd:simpleType>
        <xsd:restriction base="dms:Note"/>
      </xsd:simpleType>
    </xsd:element>
    <xsd:element name="File_x0020_Type" ma:index="4" nillable="true" ma:displayName="File Type" ma:hidden="true" ma:internalName="File_x0020_Type" ma:readOnly="true">
      <xsd:simpleType>
        <xsd:restriction base="dms:Text"/>
      </xsd:simpleType>
    </xsd:element>
    <xsd:element name="HTML_x0020_File_x0020_Type" ma:index="5" nillable="true" ma:displayName="HTML File Type" ma:hidden="true" ma:internalName="HTML_x0020_File_x0020_Type" ma:readOnly="true">
      <xsd:simpleType>
        <xsd:restriction base="dms:Text"/>
      </xsd:simpleType>
    </xsd:element>
    <xsd:element name="_SourceUrl" ma:index="6" nillable="true" ma:displayName="Source Url" ma:hidden="true" ma:internalName="_SourceUrl">
      <xsd:simpleType>
        <xsd:restriction base="dms:Text"/>
      </xsd:simpleType>
    </xsd:element>
    <xsd:element name="_SharedFileIndex" ma:index="7" nillable="true" ma:displayName="Shared File Index" ma:hidden="true" ma:internalName="_SharedFileIndex">
      <xsd:simpleType>
        <xsd:restriction base="dms:Text"/>
      </xsd:simpleType>
    </xsd:element>
    <xsd:element name="ContentTypeId" ma:index="10" nillable="true" ma:displayName="Content Type ID" ma:hidden="true" ma:internalName="ContentTypeId" ma:readOnly="true">
      <xsd:simpleType>
        <xsd:restriction base="dms:Unknown"/>
      </xsd:simpleType>
    </xsd:element>
    <xsd:element name="TemplateUrl" ma:index="11" nillable="true" ma:displayName="Template Link" ma:hidden="true" ma:internalName="TemplateUrl">
      <xsd:simpleType>
        <xsd:restriction base="dms:Text"/>
      </xsd:simpleType>
    </xsd:element>
    <xsd:element name="xd_ProgID" ma:index="12" nillable="true" ma:displayName="Html File Link" ma:hidden="true" ma:internalName="xd_ProgID">
      <xsd:simpleType>
        <xsd:restriction base="dms:Text"/>
      </xsd:simpleType>
    </xsd:element>
    <xsd:element name="xd_Signature" ma:index="13" nillable="true" ma:displayName="Is Signed" ma:hidden="true" ma:internalName="xd_Signature" ma:readOnly="true">
      <xsd:simpleType>
        <xsd:restriction base="dms:Boolean"/>
      </xsd:simpleType>
    </xsd:element>
    <xsd:element name="ID" ma:index="15" nillable="true" ma:displayName="ID" ma:internalName="ID" ma:readOnly="true">
      <xsd:simpleType>
        <xsd:restriction base="dms:Unknown"/>
      </xsd:simpleType>
    </xsd:element>
    <xsd:element name="Author" ma:index="18" nillable="true" ma:displayName="Created By"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20" nillable="true" ma:displayName="Modified By"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21" nillable="true" ma:displayName="Has Copy Destinations" ma:hidden="true" ma:internalName="_HasCopyDestinations" ma:readOnly="true">
      <xsd:simpleType>
        <xsd:restriction base="dms:Boolean"/>
      </xsd:simpleType>
    </xsd:element>
    <xsd:element name="_CopySource" ma:index="22" nillable="true" ma:displayName="Copy Source" ma:internalName="_CopySource" ma:readOnly="true">
      <xsd:simpleType>
        <xsd:restriction base="dms:Text"/>
      </xsd:simpleType>
    </xsd:element>
    <xsd:element name="_ModerationStatus" ma:index="23" nillable="true" ma:displayName="Approval Status" ma:default="0" ma:hidden="true" ma:internalName="_ModerationStatus" ma:readOnly="true">
      <xsd:simpleType>
        <xsd:restriction base="dms:Unknown"/>
      </xsd:simpleType>
    </xsd:element>
    <xsd:element name="FileRef" ma:index="24" nillable="true" ma:displayName="URL Path" ma:hidden="true" ma:list="Docs" ma:internalName="FileRef" ma:readOnly="true" ma:showField="FullUrl">
      <xsd:simpleType>
        <xsd:restriction base="dms:Lookup"/>
      </xsd:simpleType>
    </xsd:element>
    <xsd:element name="FileDirRef" ma:index="25" nillable="true" ma:displayName="Path" ma:hidden="true" ma:list="Docs" ma:internalName="FileDirRef" ma:readOnly="true" ma:showField="DirName">
      <xsd:simpleType>
        <xsd:restriction base="dms:Lookup"/>
      </xsd:simpleType>
    </xsd:element>
    <xsd:element name="Last_x0020_Modified" ma:index="26" nillable="true" ma:displayName="Modified" ma:format="TRUE" ma:hidden="true" ma:list="Docs" ma:internalName="Last_x0020_Modified" ma:readOnly="true" ma:showField="TimeLastModified">
      <xsd:simpleType>
        <xsd:restriction base="dms:Lookup"/>
      </xsd:simpleType>
    </xsd:element>
    <xsd:element name="Created_x0020_Date" ma:index="27" nillable="true" ma:displayName="Created" ma:format="TRUE" ma:hidden="true" ma:list="Docs" ma:internalName="Created_x0020_Date" ma:readOnly="true" ma:showField="TimeCreated">
      <xsd:simpleType>
        <xsd:restriction base="dms:Lookup"/>
      </xsd:simpleType>
    </xsd:element>
    <xsd:element name="File_x0020_Size" ma:index="28" nillable="true" ma:displayName="File Size" ma:format="TRUE" ma:hidden="true" ma:list="Docs" ma:internalName="File_x0020_Size" ma:readOnly="true" ma:showField="SizeInKB">
      <xsd:simpleType>
        <xsd:restriction base="dms:Lookup"/>
      </xsd:simpleType>
    </xsd:element>
    <xsd:element name="FSObjType" ma:index="29" nillable="true" ma:displayName="Item Type" ma:hidden="true" ma:list="Docs" ma:internalName="FSObjType" ma:readOnly="true" ma:showField="FSType">
      <xsd:simpleType>
        <xsd:restriction base="dms:Lookup"/>
      </xsd:simpleType>
    </xsd:element>
    <xsd:element name="CheckedOutUserId" ma:index="31" nillable="true" ma:displayName="ID of the User who has the item Checked Out" ma:hidden="true" ma:list="Docs" ma:internalName="CheckedOutUserId" ma:readOnly="true" ma:showField="CheckoutUserId">
      <xsd:simpleType>
        <xsd:restriction base="dms:Lookup"/>
      </xsd:simpleType>
    </xsd:element>
    <xsd:element name="IsCheckedoutToLocal" ma:index="32" nillable="true" ma:displayName="Is Checked out to local" ma:hidden="true" ma:list="Docs" ma:internalName="IsCheckedoutToLocal" ma:readOnly="true" ma:showField="IsCheckoutToLocal">
      <xsd:simpleType>
        <xsd:restriction base="dms:Lookup"/>
      </xsd:simpleType>
    </xsd:element>
    <xsd:element name="CheckoutUser" ma:index="33" nillable="true" ma:displayName="Checked Out T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34" nillable="true" ma:displayName="Unique Id" ma:hidden="true" ma:list="Docs" ma:internalName="UniqueId" ma:readOnly="true" ma:showField="UniqueId">
      <xsd:simpleType>
        <xsd:restriction base="dms:Lookup"/>
      </xsd:simpleType>
    </xsd:element>
    <xsd:element name="ProgId" ma:index="35" nillable="true" ma:displayName="ProgId" ma:hidden="true" ma:list="Docs" ma:internalName="ProgId" ma:readOnly="true" ma:showField="ProgId">
      <xsd:simpleType>
        <xsd:restriction base="dms:Lookup"/>
      </xsd:simpleType>
    </xsd:element>
    <xsd:element name="ScopeId" ma:index="36" nillable="true" ma:displayName="ScopeId" ma:hidden="true" ma:list="Docs" ma:internalName="ScopeId" ma:readOnly="true" ma:showField="ScopeId">
      <xsd:simpleType>
        <xsd:restriction base="dms:Lookup"/>
      </xsd:simpleType>
    </xsd:element>
    <xsd:element name="VirusStatus" ma:index="37" nillable="true" ma:displayName="Virus Status" ma:format="TRUE" ma:hidden="true" ma:list="Docs" ma:internalName="VirusStatus" ma:readOnly="true" ma:showField="Size">
      <xsd:simpleType>
        <xsd:restriction base="dms:Lookup"/>
      </xsd:simpleType>
    </xsd:element>
    <xsd:element name="CheckedOutTitle" ma:index="38" nillable="true" ma:displayName="Checked Out To" ma:format="TRUE" ma:hidden="true" ma:list="Docs" ma:internalName="CheckedOutTitle" ma:readOnly="true" ma:showField="CheckedOutTitle">
      <xsd:simpleType>
        <xsd:restriction base="dms:Lookup"/>
      </xsd:simpleType>
    </xsd:element>
    <xsd:element name="_CheckinComment" ma:index="39" nillable="true" ma:displayName="Check In Comment" ma:format="TRUE" ma:list="Docs" ma:internalName="_CheckinComment" ma:readOnly="true" ma:showField="CheckinComment">
      <xsd:simpleType>
        <xsd:restriction base="dms:Lookup"/>
      </xsd:simpleType>
    </xsd:element>
    <xsd:element name="MetaInfo" ma:index="50" nillable="true" ma:displayName="Property Bag" ma:hidden="true" ma:list="Docs" ma:internalName="MetaInfo" ma:showField="MetaInfo">
      <xsd:simpleType>
        <xsd:restriction base="dms:Lookup"/>
      </xsd:simpleType>
    </xsd:element>
    <xsd:element name="_Level" ma:index="51" nillable="true" ma:displayName="Level" ma:hidden="true" ma:internalName="_Level" ma:readOnly="true">
      <xsd:simpleType>
        <xsd:restriction base="dms:Unknown"/>
      </xsd:simpleType>
    </xsd:element>
    <xsd:element name="_IsCurrentVersion" ma:index="52" nillable="true" ma:displayName="Is Current Version" ma:hidden="true" ma:internalName="_IsCurrentVersion" ma:readOnly="true">
      <xsd:simpleType>
        <xsd:restriction base="dms:Boolean"/>
      </xsd:simpleType>
    </xsd:element>
    <xsd:element name="owshiddenversion" ma:index="56" nillable="true" ma:displayName="owshiddenversion" ma:hidden="true" ma:internalName="owshiddenversion" ma:readOnly="true">
      <xsd:simpleType>
        <xsd:restriction base="dms:Unknown"/>
      </xsd:simpleType>
    </xsd:element>
    <xsd:element name="_UIVersion" ma:index="57" nillable="true" ma:displayName="UI Version" ma:hidden="true" ma:internalName="_UIVersion" ma:readOnly="true">
      <xsd:simpleType>
        <xsd:restriction base="dms:Unknown"/>
      </xsd:simpleType>
    </xsd:element>
    <xsd:element name="_UIVersionString" ma:index="58" nillable="true" ma:displayName="Version" ma:internalName="_UIVersionString" ma:readOnly="true">
      <xsd:simpleType>
        <xsd:restriction base="dms:Text"/>
      </xsd:simpleType>
    </xsd:element>
    <xsd:element name="InstanceID" ma:index="59" nillable="true" ma:displayName="Instance ID" ma:hidden="true" ma:internalName="InstanceID" ma:readOnly="true">
      <xsd:simpleType>
        <xsd:restriction base="dms:Unknown"/>
      </xsd:simpleType>
    </xsd:element>
    <xsd:element name="Order" ma:index="60" nillable="true" ma:displayName="Order" ma:hidden="true" ma:internalName="Order">
      <xsd:simpleType>
        <xsd:restriction base="dms:Number"/>
      </xsd:simpleType>
    </xsd:element>
    <xsd:element name="GUID" ma:index="61" nillable="true" ma:displayName="GUID" ma:hidden="true" ma:internalName="GUID" ma:readOnly="true">
      <xsd:simpleType>
        <xsd:restriction base="dms:Unknown"/>
      </xsd:simpleType>
    </xsd:element>
    <xsd:element name="WorkflowVersion" ma:index="62" nillable="true" ma:displayName="Workflow Version" ma:hidden="true" ma:internalName="WorkflowVersion" ma:readOnly="true">
      <xsd:simpleType>
        <xsd:restriction base="dms:Unknown"/>
      </xsd:simpleType>
    </xsd:element>
    <xsd:element name="WorkflowInstanceID" ma:index="63" nillable="true" ma:displayName="Workflow Instance ID" ma:hidden="true" ma:internalName="WorkflowInstanceID" ma:readOnly="true">
      <xsd:simpleType>
        <xsd:restriction base="dms:Unknown"/>
      </xsd:simpleType>
    </xsd:element>
    <xsd:element name="ParentVersionString" ma:index="64" nillable="true" ma:displayName="Source Version (Converted Document)" ma:hidden="true" ma:list="Docs" ma:internalName="ParentVersionString" ma:readOnly="true" ma:showField="ParentVersionString">
      <xsd:simpleType>
        <xsd:restriction base="dms:Lookup"/>
      </xsd:simpleType>
    </xsd:element>
    <xsd:element name="ParentLeafName" ma:index="65" nillable="true" ma:displayName="Source Name (Converted Document)" ma:hidden="true" ma:list="Docs" ma:internalName="ParentLeafName" ma:readOnly="true" ma:showField="ParentLeafName">
      <xsd:simpleType>
        <xsd:restriction base="dms:Lookup"/>
      </xsd:simpleType>
    </xsd:element>
  </xsd:schema>
  <xsd:schema xmlns:xsd="http://www.w3.org/2001/XMLSchema" xmlns:dms="http://schemas.microsoft.com/office/2006/documentManagement/types" targetNamespace="41A7A25E-88C5-415C-AB9A-358CCBEA8A85" elementFormDefault="qualified">
    <xsd:import namespace="http://schemas.microsoft.com/office/2006/documentManagement/types"/>
    <xsd:element name="Priority" ma:index="9" nillable="true" ma:displayName="Priority" ma:internalName="Priority">
      <xsd:simpleType>
        <xsd:restriction base="dms:Number"/>
      </xsd:simpleType>
    </xsd:element>
  </xsd:schema>
  <xsd:schema xmlns:xsd="http://www.w3.org/2001/XMLSchema" xmlns:dms="http://schemas.microsoft.com/office/2006/documentManagement/types" targetNamespace="cd6d2771-e08b-42a3-90f8-eca630337659" elementFormDefault="qualified">
    <xsd:import namespace="http://schemas.microsoft.com/office/2006/documentManagement/types"/>
    <xsd:element name="Number_x0020_Of_x0020_Viewer" ma:index="14" nillable="true" ma:displayName="Number Of Viewer" ma:default="0" ma:internalName="Number_x0020_Of_x0020_Viewe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ma:readOnly="tru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254E4968-24A4-4F33-B0CC-3206B895FA58}">
  <ds:schemaRefs>
    <ds:schemaRef ds:uri="http://schemas.openxmlformats.org/package/2006/metadata/core-properties"/>
    <ds:schemaRef ds:uri="cd6d2771-e08b-42a3-90f8-eca630337659"/>
    <ds:schemaRef ds:uri="http://schemas.microsoft.com/office/2006/documentManagement/types"/>
    <ds:schemaRef ds:uri="http://purl.org/dc/elements/1.1/"/>
    <ds:schemaRef ds:uri="http://schemas.microsoft.com/office/2006/metadata/properties"/>
    <ds:schemaRef ds:uri="http://schemas.microsoft.com/sharepoint/v3"/>
    <ds:schemaRef ds:uri="http://purl.org/dc/terms/"/>
    <ds:schemaRef ds:uri="41A7A25E-88C5-415C-AB9A-358CCBEA8A85"/>
    <ds:schemaRef ds:uri="http://www.w3.org/XML/1998/namespace"/>
    <ds:schemaRef ds:uri="http://purl.org/dc/dcmitype/"/>
    <ds:schemaRef ds:uri="http://schemas.microsoft.com/office/infopath/2007/PartnerControls"/>
  </ds:schemaRefs>
</ds:datastoreItem>
</file>

<file path=customXml/itemProps2.xml><?xml version="1.0" encoding="utf-8"?>
<ds:datastoreItem xmlns:ds="http://schemas.openxmlformats.org/officeDocument/2006/customXml" ds:itemID="{85ED280E-F51D-42B1-B363-4EC477D089ED}">
  <ds:schemaRefs/>
</ds:datastoreItem>
</file>

<file path=customXml/itemProps3.xml><?xml version="1.0" encoding="utf-8"?>
<ds:datastoreItem xmlns:ds="http://schemas.openxmlformats.org/officeDocument/2006/customXml" ds:itemID="{0FCAE63D-5380-40ED-A43E-1567E1C203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Test case List</vt:lpstr>
      <vt:lpstr>Security test case</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pc</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Admin</cp:lastModifiedBy>
  <cp:lastPrinted>2010-11-12T10:33:20Z</cp:lastPrinted>
  <dcterms:created xsi:type="dcterms:W3CDTF">2011-06-02T09:10:50Z</dcterms:created>
  <dcterms:modified xsi:type="dcterms:W3CDTF">2025-12-21T09:02:40Z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1033-12.2.0.23155</vt:lpwstr>
  </property>
  <property fmtid="{D5CDD505-2E9C-101B-9397-08002B2CF9AE}" pid="3" name="ICV">
    <vt:lpwstr>434823B8389147A2BD261D69C95E13E0_12</vt:lpwstr>
  </property>
</Properties>
</file>