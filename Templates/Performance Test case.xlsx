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8D52F186-52EE-4F82-8D63-4EA418B0EBFC}" xr6:coauthVersionLast="47" xr6:coauthVersionMax="47" xr10:uidLastSave="{00000000-0000-0000-0000-000000000000}"/>
  <bookViews>
    <workbookView xWindow="-120" yWindow="-120" windowWidth="29040" windowHeight="15720" tabRatio="821" xr2:uid="{54D1C333-A8F3-504F-8D67-28F9DF72E520}"/>
  </bookViews>
  <sheets>
    <sheet name="Cover" sheetId="1" r:id="rId1"/>
    <sheet name="Test case List" sheetId="2" r:id="rId2"/>
    <sheet name="Module1" sheetId="3" r:id="rId3"/>
    <sheet name="Module2" sheetId="9" r:id="rId4"/>
    <sheet name="Test Report" sheetId="5" r:id="rId5"/>
  </sheets>
  <definedNames>
    <definedName name="_xlnm._FilterDatabase" localSheetId="2" hidden="1">Module1!$A$8:$G$8</definedName>
    <definedName name="_xlnm._FilterDatabase" localSheetId="3" hidden="1">Module2!#REF!</definedName>
    <definedName name="ACTI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3" l="1"/>
  <c r="A6" i="3"/>
  <c r="D11" i="5" l="1"/>
  <c r="A6" i="9"/>
  <c r="D12" i="5" s="1"/>
  <c r="B6" i="9"/>
  <c r="E12" i="5" s="1"/>
  <c r="D6" i="9"/>
  <c r="G12" i="5" s="1"/>
  <c r="E6" i="9"/>
  <c r="H12" i="5" s="1"/>
  <c r="D6" i="3"/>
  <c r="E11" i="5"/>
  <c r="C6" i="1"/>
  <c r="D3" i="2"/>
  <c r="D4" i="2"/>
  <c r="C5" i="5"/>
  <c r="C11" i="5"/>
  <c r="C6" i="9" l="1"/>
  <c r="F12" i="5" s="1"/>
  <c r="E14" i="5"/>
  <c r="D14" i="5"/>
  <c r="H11" i="5"/>
  <c r="H14" i="5" s="1"/>
  <c r="G11" i="5"/>
  <c r="G14" i="5" l="1"/>
  <c r="E16" i="5" s="1"/>
  <c r="C6" i="3"/>
  <c r="F11" i="5" s="1"/>
  <c r="F14" i="5" s="1"/>
  <c r="E17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11" authorId="0" shapeId="0" xr:uid="{A2EFF0CB-5607-B541-A684-9B925F100C1E}">
      <text>
        <r>
          <rPr>
            <b/>
            <sz val="10"/>
            <color indexed="8"/>
            <rFont val="Times New Roman"/>
            <family val="1"/>
          </rPr>
          <t>*A</t>
        </r>
        <r>
          <rPr>
            <sz val="10"/>
            <color indexed="8"/>
            <rFont val="Times New Roman"/>
            <family val="1"/>
          </rPr>
          <t xml:space="preserve">: Add
  </t>
        </r>
        <r>
          <rPr>
            <b/>
            <sz val="10"/>
            <color indexed="8"/>
            <rFont val="Times New Roman"/>
            <family val="1"/>
          </rPr>
          <t>M</t>
        </r>
        <r>
          <rPr>
            <sz val="10"/>
            <color indexed="8"/>
            <rFont val="Times New Roman"/>
            <family val="1"/>
          </rPr>
          <t xml:space="preserve">: Modify
  </t>
        </r>
        <r>
          <rPr>
            <b/>
            <sz val="10"/>
            <color indexed="8"/>
            <rFont val="Times New Roman"/>
            <family val="1"/>
          </rPr>
          <t>D</t>
        </r>
        <r>
          <rPr>
            <sz val="10"/>
            <color indexed="8"/>
            <rFont val="Times New Roman"/>
            <family val="1"/>
          </rPr>
          <t xml:space="preserve">: Delete
</t>
        </r>
      </text>
    </comment>
  </commentList>
</comments>
</file>

<file path=xl/sharedStrings.xml><?xml version="1.0" encoding="utf-8"?>
<sst xmlns="http://schemas.openxmlformats.org/spreadsheetml/2006/main" count="134" uniqueCount="83">
  <si>
    <t>TEST CASE</t>
  </si>
  <si>
    <t>Project Name</t>
  </si>
  <si>
    <t>&lt;Project Name&gt;</t>
  </si>
  <si>
    <t>Creator</t>
  </si>
  <si>
    <t>Project Code</t>
  </si>
  <si>
    <t>&lt;Project Code&gt;</t>
  </si>
  <si>
    <t>Reviewer/Approver</t>
  </si>
  <si>
    <t>Document Code</t>
  </si>
  <si>
    <t>Issue Date</t>
  </si>
  <si>
    <t>Version</t>
  </si>
  <si>
    <t>Record of change</t>
  </si>
  <si>
    <t>Effective Date</t>
  </si>
  <si>
    <t>Change Item</t>
  </si>
  <si>
    <t>*A,D,M</t>
  </si>
  <si>
    <t>Change description</t>
  </si>
  <si>
    <t>Reference</t>
  </si>
  <si>
    <t>&lt;Date when these changes are effective&gt;</t>
  </si>
  <si>
    <t>TEST CASE LIST</t>
  </si>
  <si>
    <t>Test Environment Setup Description</t>
  </si>
  <si>
    <t>&lt;List enviroment requires in this system
1. Server
2. Database
3. Web Browser
...
&gt;</t>
  </si>
  <si>
    <t>No</t>
  </si>
  <si>
    <t>Function Name</t>
  </si>
  <si>
    <t>Sheet Name</t>
  </si>
  <si>
    <t>Description</t>
  </si>
  <si>
    <t>Pre-Condition</t>
  </si>
  <si>
    <t>Module1</t>
  </si>
  <si>
    <t>Module2</t>
  </si>
  <si>
    <t>Module Code</t>
  </si>
  <si>
    <t xml:space="preserve">Module1 </t>
  </si>
  <si>
    <t>Pass</t>
  </si>
  <si>
    <t>Test requirement</t>
  </si>
  <si>
    <t>&lt;Brief description about requirements which are tested in this sheet&gt;</t>
  </si>
  <si>
    <t>Fail</t>
  </si>
  <si>
    <t>Tester</t>
  </si>
  <si>
    <t>Untested</t>
  </si>
  <si>
    <t>N/A</t>
  </si>
  <si>
    <t>Number of Test cases</t>
  </si>
  <si>
    <t>Untesed</t>
  </si>
  <si>
    <t>ID</t>
  </si>
  <si>
    <t>Result</t>
  </si>
  <si>
    <t>TEST REPORT</t>
  </si>
  <si>
    <t>&lt;Date when this test report is created&gt;</t>
  </si>
  <si>
    <t>Notes</t>
  </si>
  <si>
    <t>&lt;List modules included in this release&gt; ex: Release 1 includes 2 modules: Module1 and Module2</t>
  </si>
  <si>
    <t>Module code</t>
  </si>
  <si>
    <t>Number of  test cases</t>
  </si>
  <si>
    <t>Sub total</t>
  </si>
  <si>
    <t>Test coverage</t>
  </si>
  <si>
    <t>%</t>
  </si>
  <si>
    <t>Test successful coverage</t>
  </si>
  <si>
    <t>&lt;List of documents which are referred in this version.&gt;</t>
  </si>
  <si>
    <t>Load Testing</t>
  </si>
  <si>
    <t>Stress Testing</t>
  </si>
  <si>
    <t>Type</t>
  </si>
  <si>
    <t>Test Scenario (Kịch bản)</t>
  </si>
  <si>
    <t>Workload (Cấu hình tải)</t>
  </si>
  <si>
    <t>Acceptance Criteria (Tiêu chí đạt)</t>
  </si>
  <si>
    <t>PT_LD_01</t>
  </si>
  <si>
    <t>PT_LD_02</t>
  </si>
  <si>
    <t>PT_CN_01</t>
  </si>
  <si>
    <t>Concurrency</t>
  </si>
  <si>
    <t>PT_ST_01</t>
  </si>
  <si>
    <t>PT_ST_02</t>
  </si>
  <si>
    <t>PT_RC_01</t>
  </si>
  <si>
    <t>Recovery</t>
  </si>
  <si>
    <t>Kiểm tra thời gian tải Home Page</t>
  </si>
  <si>
    <t>Hệ thống vẫn phản hồi (Responsive)
Error Rate &lt; 1%</t>
  </si>
  <si>
    <t>Tăng tải vượt quá năng lực thiết kế</t>
  </si>
  <si>
    <t>Không bị timeout nghiêm trọng
Hệ thống không crash
Database không bị deadlock</t>
  </si>
  <si>
    <t>Kiểm tra Graceful Degradation khi hệ thống quá tải</t>
  </si>
  <si>
    <t>Hiển thị thông báo lỗi thân thiện
Không hiển thị log code / stack trace / trang trắng</t>
  </si>
  <si>
    <t>Kiểm tra khả năng tự phục hồi hệ thống</t>
  </si>
  <si>
    <t>Chạy Stress Test (High Load)
Giảm tải về 0
Chạy lại Normal Load (50 users)</t>
  </si>
  <si>
    <t>Hệ thống hoạt động bình thường trở lại
Không cần restart server thủ công</t>
  </si>
  <si>
    <t>Kiểm tra hệ thống khi 500 users thực hiện thêm sản phẩm vào giỏ hàng đồng thời</t>
  </si>
  <si>
    <t>Kiểm tra thời gian tải Admin Page</t>
  </si>
  <si>
    <t>Users: 50 (Normal Load)
Ramp-up: 60s
Loop: 10 lần</t>
  </si>
  <si>
    <t>Users: 50 (Normal Load)
Ramp-up: 60s
Loop: 20 lần</t>
  </si>
  <si>
    <t>Users: 500
Ramp-up: 5-10 phút
Duration: 15 phút</t>
  </si>
  <si>
    <t>Avg Response Time ≤ 2 giây
Error Rate = 0%</t>
  </si>
  <si>
    <t>Avg Response Time ≤ 1 giây
Error Rate = 0%</t>
  </si>
  <si>
    <t>Users: tăng dần từ 500 → 1000
Step: +100 users/phút</t>
  </si>
  <si>
    <t>Users: tại mức đỉnh (breaking point)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</si>
</sst>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\-mmm\-yy;@"/>
  </numFmts>
  <fonts count="22" x14ac:knownFonts="1">
    <font>
      <sz val="11"/>
      <name val="ＭＳ Ｐゴシック"/>
      <family val="3"/>
      <charset val="128"/>
    </font>
    <font>
      <sz val="9"/>
      <name val="ＭＳ ゴシック"/>
      <family val="3"/>
      <charset val="128"/>
    </font>
    <font>
      <sz val="10"/>
      <name val="Tahoma"/>
      <family val="2"/>
    </font>
    <font>
      <b/>
      <sz val="22"/>
      <color indexed="10"/>
      <name val="Tahoma"/>
      <family val="2"/>
    </font>
    <font>
      <b/>
      <sz val="26"/>
      <color indexed="10"/>
      <name val="Tahoma"/>
      <family val="2"/>
    </font>
    <font>
      <b/>
      <sz val="20"/>
      <color indexed="8"/>
      <name val="Tahoma"/>
      <family val="2"/>
    </font>
    <font>
      <b/>
      <sz val="10"/>
      <color indexed="60"/>
      <name val="Tahoma"/>
      <family val="2"/>
    </font>
    <font>
      <i/>
      <sz val="10"/>
      <color indexed="17"/>
      <name val="Tahoma"/>
      <family val="2"/>
    </font>
    <font>
      <b/>
      <sz val="10"/>
      <color indexed="9"/>
      <name val="Tahoma"/>
      <family val="2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  <font>
      <b/>
      <sz val="10"/>
      <color indexed="8"/>
      <name val="Tahoma"/>
      <family val="2"/>
    </font>
    <font>
      <b/>
      <sz val="10"/>
      <color indexed="10"/>
      <name val="Tahoma"/>
      <family val="2"/>
    </font>
    <font>
      <b/>
      <sz val="10"/>
      <name val="Tahoma"/>
      <family val="2"/>
    </font>
    <font>
      <u/>
      <sz val="10"/>
      <color indexed="12"/>
      <name val="Tahoma"/>
      <family val="2"/>
    </font>
    <font>
      <u/>
      <sz val="11"/>
      <color indexed="12"/>
      <name val="ＭＳ Ｐゴシック"/>
      <family val="3"/>
      <charset val="128"/>
    </font>
    <font>
      <sz val="10"/>
      <color indexed="8"/>
      <name val="Tahoma"/>
      <family val="2"/>
    </font>
    <font>
      <sz val="10"/>
      <color indexed="9"/>
      <name val="Tahoma"/>
      <family val="2"/>
    </font>
    <font>
      <b/>
      <sz val="10"/>
      <color indexed="12"/>
      <name val="Tahoma"/>
      <family val="2"/>
    </font>
    <font>
      <sz val="11"/>
      <name val="ＭＳ Ｐゴシック"/>
      <family val="3"/>
      <charset val="128"/>
    </font>
    <font>
      <sz val="8"/>
      <name val="ＭＳ Ｐゴシック"/>
      <family val="3"/>
      <charset val="128"/>
    </font>
    <font>
      <sz val="14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8"/>
        <bgColor indexed="32"/>
      </patternFill>
    </fill>
    <fill>
      <patternFill patternType="solid">
        <fgColor indexed="62"/>
        <bgColor indexed="56"/>
      </patternFill>
    </fill>
  </fills>
  <borders count="32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/>
      <top style="thin">
        <color indexed="8"/>
      </top>
      <bottom style="hair">
        <color indexed="8"/>
      </bottom>
      <diagonal/>
    </border>
    <border>
      <left/>
      <right/>
      <top/>
      <bottom style="medium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/>
      <bottom/>
      <diagonal/>
    </border>
    <border>
      <left/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medium">
        <color indexed="8"/>
      </right>
      <top style="thin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 style="medium">
        <color indexed="8"/>
      </right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medium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5" fillId="0" borderId="0" applyNumberFormat="0" applyFill="0" applyBorder="0" applyAlignment="0" applyProtection="0"/>
    <xf numFmtId="0" fontId="19" fillId="0" borderId="0"/>
    <xf numFmtId="0" fontId="19" fillId="0" borderId="0"/>
    <xf numFmtId="0" fontId="1" fillId="0" borderId="0"/>
  </cellStyleXfs>
  <cellXfs count="12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 indent="1"/>
    </xf>
    <xf numFmtId="0" fontId="3" fillId="2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2" borderId="0" xfId="0" applyFont="1" applyFill="1" applyAlignment="1">
      <alignment horizontal="left" indent="1"/>
    </xf>
    <xf numFmtId="0" fontId="7" fillId="0" borderId="0" xfId="0" applyFont="1" applyAlignment="1">
      <alignment horizontal="left" indent="1"/>
    </xf>
    <xf numFmtId="0" fontId="2" fillId="2" borderId="0" xfId="0" applyFont="1" applyFill="1"/>
    <xf numFmtId="0" fontId="6" fillId="2" borderId="2" xfId="0" applyFont="1" applyFill="1" applyBorder="1" applyAlignment="1">
      <alignment horizontal="left"/>
    </xf>
    <xf numFmtId="0" fontId="2" fillId="0" borderId="3" xfId="0" applyFont="1" applyBorder="1"/>
    <xf numFmtId="0" fontId="6" fillId="2" borderId="2" xfId="0" applyFont="1" applyFill="1" applyBorder="1" applyAlignment="1">
      <alignment horizontal="left" vertical="center"/>
    </xf>
    <xf numFmtId="0" fontId="7" fillId="0" borderId="3" xfId="0" applyFont="1" applyBorder="1" applyAlignment="1">
      <alignment horizontal="left" indent="1"/>
    </xf>
    <xf numFmtId="0" fontId="6" fillId="2" borderId="0" xfId="0" applyFont="1" applyFill="1"/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2" fillId="0" borderId="0" xfId="0" applyFont="1" applyAlignment="1">
      <alignment vertical="center"/>
    </xf>
    <xf numFmtId="164" fontId="8" fillId="3" borderId="4" xfId="0" applyNumberFormat="1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2" fillId="0" borderId="0" xfId="0" applyFont="1" applyAlignment="1">
      <alignment vertical="top"/>
    </xf>
    <xf numFmtId="0" fontId="7" fillId="0" borderId="7" xfId="0" applyFont="1" applyBorder="1" applyAlignment="1">
      <alignment vertical="top" wrapText="1"/>
    </xf>
    <xf numFmtId="49" fontId="2" fillId="0" borderId="8" xfId="0" applyNumberFormat="1" applyFont="1" applyBorder="1" applyAlignment="1">
      <alignment vertical="top"/>
    </xf>
    <xf numFmtId="0" fontId="2" fillId="0" borderId="8" xfId="0" applyFont="1" applyBorder="1" applyAlignment="1">
      <alignment vertical="top"/>
    </xf>
    <xf numFmtId="15" fontId="2" fillId="0" borderId="8" xfId="0" applyNumberFormat="1" applyFont="1" applyBorder="1" applyAlignment="1">
      <alignment vertical="top"/>
    </xf>
    <xf numFmtId="0" fontId="7" fillId="0" borderId="9" xfId="0" applyFont="1" applyBorder="1" applyAlignment="1">
      <alignment vertical="top" wrapText="1"/>
    </xf>
    <xf numFmtId="164" fontId="2" fillId="0" borderId="7" xfId="0" applyNumberFormat="1" applyFont="1" applyBorder="1" applyAlignment="1">
      <alignment vertical="top"/>
    </xf>
    <xf numFmtId="0" fontId="2" fillId="0" borderId="9" xfId="0" applyFont="1" applyBorder="1" applyAlignment="1">
      <alignment vertical="top"/>
    </xf>
    <xf numFmtId="164" fontId="2" fillId="0" borderId="10" xfId="0" applyNumberFormat="1" applyFont="1" applyBorder="1" applyAlignment="1">
      <alignment vertical="top"/>
    </xf>
    <xf numFmtId="49" fontId="2" fillId="0" borderId="11" xfId="0" applyNumberFormat="1" applyFont="1" applyBorder="1" applyAlignment="1">
      <alignment vertical="top"/>
    </xf>
    <xf numFmtId="0" fontId="2" fillId="0" borderId="11" xfId="0" applyFont="1" applyBorder="1" applyAlignment="1">
      <alignment vertical="top"/>
    </xf>
    <xf numFmtId="0" fontId="2" fillId="0" borderId="12" xfId="0" applyFont="1" applyBorder="1" applyAlignment="1">
      <alignment vertical="top"/>
    </xf>
    <xf numFmtId="1" fontId="2" fillId="2" borderId="0" xfId="0" applyNumberFormat="1" applyFont="1" applyFill="1"/>
    <xf numFmtId="0" fontId="2" fillId="2" borderId="0" xfId="0" applyFont="1" applyFill="1" applyAlignment="1">
      <alignment horizontal="left"/>
    </xf>
    <xf numFmtId="1" fontId="2" fillId="2" borderId="0" xfId="0" applyNumberFormat="1" applyFont="1" applyFill="1" applyProtection="1">
      <protection hidden="1"/>
    </xf>
    <xf numFmtId="0" fontId="5" fillId="2" borderId="0" xfId="0" applyFont="1" applyFill="1" applyAlignment="1">
      <alignment horizontal="left"/>
    </xf>
    <xf numFmtId="0" fontId="11" fillId="2" borderId="0" xfId="0" applyFont="1" applyFill="1" applyAlignment="1">
      <alignment horizontal="left"/>
    </xf>
    <xf numFmtId="0" fontId="12" fillId="2" borderId="0" xfId="0" applyFont="1" applyFill="1" applyAlignment="1">
      <alignment horizontal="left"/>
    </xf>
    <xf numFmtId="0" fontId="2" fillId="2" borderId="0" xfId="0" applyFont="1" applyFill="1" applyAlignment="1">
      <alignment wrapText="1"/>
    </xf>
    <xf numFmtId="1" fontId="6" fillId="2" borderId="0" xfId="0" applyNumberFormat="1" applyFont="1" applyFill="1"/>
    <xf numFmtId="0" fontId="2" fillId="2" borderId="0" xfId="0" applyFont="1" applyFill="1" applyAlignment="1">
      <alignment vertical="center"/>
    </xf>
    <xf numFmtId="1" fontId="2" fillId="2" borderId="0" xfId="0" applyNumberFormat="1" applyFont="1" applyFill="1" applyAlignment="1" applyProtection="1">
      <alignment vertical="center"/>
      <protection hidden="1"/>
    </xf>
    <xf numFmtId="0" fontId="2" fillId="2" borderId="0" xfId="0" applyFont="1" applyFill="1" applyAlignment="1">
      <alignment horizontal="left" vertical="center"/>
    </xf>
    <xf numFmtId="0" fontId="13" fillId="2" borderId="0" xfId="0" applyFont="1" applyFill="1" applyAlignment="1">
      <alignment horizontal="center"/>
    </xf>
    <xf numFmtId="1" fontId="8" fillId="4" borderId="4" xfId="0" applyNumberFormat="1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8" fillId="4" borderId="13" xfId="0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/>
    </xf>
    <xf numFmtId="1" fontId="2" fillId="2" borderId="7" xfId="0" applyNumberFormat="1" applyFont="1" applyFill="1" applyBorder="1" applyAlignment="1">
      <alignment vertical="center"/>
    </xf>
    <xf numFmtId="49" fontId="2" fillId="2" borderId="8" xfId="0" applyNumberFormat="1" applyFont="1" applyFill="1" applyBorder="1" applyAlignment="1">
      <alignment horizontal="left" vertical="center"/>
    </xf>
    <xf numFmtId="0" fontId="14" fillId="2" borderId="8" xfId="1" applyNumberFormat="1" applyFont="1" applyFill="1" applyBorder="1" applyAlignment="1" applyProtection="1">
      <alignment horizontal="left" vertical="center"/>
    </xf>
    <xf numFmtId="0" fontId="2" fillId="2" borderId="9" xfId="0" applyFont="1" applyFill="1" applyBorder="1" applyAlignment="1">
      <alignment horizontal="left" vertical="center"/>
    </xf>
    <xf numFmtId="0" fontId="2" fillId="2" borderId="8" xfId="0" applyFont="1" applyFill="1" applyBorder="1" applyAlignment="1">
      <alignment horizontal="left" vertical="center"/>
    </xf>
    <xf numFmtId="1" fontId="2" fillId="2" borderId="10" xfId="0" applyNumberFormat="1" applyFont="1" applyFill="1" applyBorder="1" applyAlignment="1">
      <alignment vertical="center"/>
    </xf>
    <xf numFmtId="49" fontId="2" fillId="2" borderId="11" xfId="0" applyNumberFormat="1" applyFont="1" applyFill="1" applyBorder="1" applyAlignment="1">
      <alignment horizontal="left" vertical="center"/>
    </xf>
    <xf numFmtId="0" fontId="2" fillId="2" borderId="11" xfId="0" applyFont="1" applyFill="1" applyBorder="1" applyAlignment="1">
      <alignment horizontal="left" vertical="center"/>
    </xf>
    <xf numFmtId="0" fontId="2" fillId="2" borderId="12" xfId="0" applyFont="1" applyFill="1" applyBorder="1" applyAlignment="1">
      <alignment horizontal="left" vertical="center"/>
    </xf>
    <xf numFmtId="0" fontId="16" fillId="2" borderId="14" xfId="0" applyFont="1" applyFill="1" applyBorder="1"/>
    <xf numFmtId="0" fontId="16" fillId="2" borderId="14" xfId="0" applyFont="1" applyFill="1" applyBorder="1" applyAlignment="1">
      <alignment wrapText="1"/>
    </xf>
    <xf numFmtId="0" fontId="2" fillId="2" borderId="14" xfId="0" applyFont="1" applyFill="1" applyBorder="1" applyAlignment="1">
      <alignment wrapText="1"/>
    </xf>
    <xf numFmtId="0" fontId="13" fillId="2" borderId="0" xfId="0" applyFont="1" applyFill="1" applyAlignment="1">
      <alignment wrapText="1"/>
    </xf>
    <xf numFmtId="0" fontId="16" fillId="2" borderId="0" xfId="0" applyFont="1" applyFill="1"/>
    <xf numFmtId="0" fontId="13" fillId="2" borderId="15" xfId="3" applyFont="1" applyFill="1" applyBorder="1" applyAlignment="1">
      <alignment horizontal="left" wrapText="1"/>
    </xf>
    <xf numFmtId="0" fontId="13" fillId="2" borderId="16" xfId="3" applyFont="1" applyFill="1" applyBorder="1" applyAlignment="1">
      <alignment horizontal="left" wrapText="1"/>
    </xf>
    <xf numFmtId="0" fontId="11" fillId="2" borderId="0" xfId="0" applyFont="1" applyFill="1"/>
    <xf numFmtId="0" fontId="11" fillId="2" borderId="16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wrapText="1"/>
    </xf>
    <xf numFmtId="0" fontId="16" fillId="2" borderId="17" xfId="0" applyFont="1" applyFill="1" applyBorder="1" applyAlignment="1">
      <alignment horizontal="center" vertical="center"/>
    </xf>
    <xf numFmtId="0" fontId="16" fillId="2" borderId="18" xfId="0" applyFont="1" applyFill="1" applyBorder="1" applyAlignment="1">
      <alignment horizontal="center" vertical="center"/>
    </xf>
    <xf numFmtId="0" fontId="16" fillId="2" borderId="19" xfId="0" applyFont="1" applyFill="1" applyBorder="1" applyAlignment="1">
      <alignment horizontal="center" vertical="center"/>
    </xf>
    <xf numFmtId="0" fontId="16" fillId="2" borderId="0" xfId="0" applyFont="1" applyFill="1" applyAlignment="1">
      <alignment horizontal="center" wrapText="1"/>
    </xf>
    <xf numFmtId="0" fontId="13" fillId="2" borderId="0" xfId="2" applyFont="1" applyFill="1"/>
    <xf numFmtId="0" fontId="2" fillId="2" borderId="0" xfId="2" applyFont="1" applyFill="1"/>
    <xf numFmtId="164" fontId="2" fillId="2" borderId="0" xfId="2" applyNumberFormat="1" applyFont="1" applyFill="1"/>
    <xf numFmtId="0" fontId="6" fillId="2" borderId="3" xfId="0" applyFont="1" applyFill="1" applyBorder="1" applyAlignment="1">
      <alignment horizontal="left"/>
    </xf>
    <xf numFmtId="0" fontId="2" fillId="2" borderId="3" xfId="0" applyFont="1" applyFill="1" applyBorder="1" applyAlignment="1">
      <alignment vertical="top"/>
    </xf>
    <xf numFmtId="0" fontId="6" fillId="2" borderId="2" xfId="0" applyFont="1" applyFill="1" applyBorder="1" applyAlignment="1">
      <alignment vertical="center"/>
    </xf>
    <xf numFmtId="0" fontId="7" fillId="2" borderId="3" xfId="0" applyFont="1" applyFill="1" applyBorder="1" applyAlignment="1">
      <alignment vertical="top"/>
    </xf>
    <xf numFmtId="0" fontId="7" fillId="2" borderId="0" xfId="2" applyFont="1" applyFill="1"/>
    <xf numFmtId="0" fontId="2" fillId="2" borderId="20" xfId="0" applyFont="1" applyFill="1" applyBorder="1"/>
    <xf numFmtId="0" fontId="8" fillId="3" borderId="21" xfId="0" applyFont="1" applyFill="1" applyBorder="1" applyAlignment="1">
      <alignment horizontal="center"/>
    </xf>
    <xf numFmtId="0" fontId="8" fillId="3" borderId="5" xfId="0" applyFont="1" applyFill="1" applyBorder="1" applyAlignment="1">
      <alignment horizontal="center"/>
    </xf>
    <xf numFmtId="0" fontId="8" fillId="3" borderId="5" xfId="0" applyFont="1" applyFill="1" applyBorder="1" applyAlignment="1">
      <alignment horizontal="center" wrapText="1"/>
    </xf>
    <xf numFmtId="0" fontId="8" fillId="3" borderId="13" xfId="0" applyFont="1" applyFill="1" applyBorder="1" applyAlignment="1">
      <alignment horizontal="center"/>
    </xf>
    <xf numFmtId="0" fontId="8" fillId="3" borderId="22" xfId="0" applyFont="1" applyFill="1" applyBorder="1" applyAlignment="1">
      <alignment horizontal="center" wrapText="1"/>
    </xf>
    <xf numFmtId="0" fontId="2" fillId="2" borderId="23" xfId="0" applyFont="1" applyFill="1" applyBorder="1" applyAlignment="1">
      <alignment horizontal="center"/>
    </xf>
    <xf numFmtId="0" fontId="2" fillId="2" borderId="8" xfId="0" applyFont="1" applyFill="1" applyBorder="1"/>
    <xf numFmtId="0" fontId="2" fillId="2" borderId="8" xfId="0" applyFont="1" applyFill="1" applyBorder="1" applyAlignment="1">
      <alignment horizontal="center"/>
    </xf>
    <xf numFmtId="0" fontId="2" fillId="2" borderId="24" xfId="0" applyFont="1" applyFill="1" applyBorder="1" applyAlignment="1">
      <alignment horizontal="center"/>
    </xf>
    <xf numFmtId="0" fontId="2" fillId="2" borderId="25" xfId="0" applyFont="1" applyFill="1" applyBorder="1" applyAlignment="1">
      <alignment horizontal="center"/>
    </xf>
    <xf numFmtId="0" fontId="17" fillId="3" borderId="26" xfId="0" applyFont="1" applyFill="1" applyBorder="1" applyAlignment="1">
      <alignment horizontal="center"/>
    </xf>
    <xf numFmtId="0" fontId="8" fillId="3" borderId="11" xfId="0" applyFont="1" applyFill="1" applyBorder="1"/>
    <xf numFmtId="0" fontId="17" fillId="3" borderId="11" xfId="0" applyFont="1" applyFill="1" applyBorder="1" applyAlignment="1">
      <alignment horizontal="center"/>
    </xf>
    <xf numFmtId="0" fontId="17" fillId="3" borderId="27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10" fontId="2" fillId="2" borderId="0" xfId="0" applyNumberFormat="1" applyFont="1" applyFill="1" applyAlignment="1">
      <alignment horizontal="center"/>
    </xf>
    <xf numFmtId="9" fontId="2" fillId="2" borderId="0" xfId="0" applyNumberFormat="1" applyFont="1" applyFill="1" applyAlignment="1">
      <alignment horizontal="center"/>
    </xf>
    <xf numFmtId="0" fontId="6" fillId="2" borderId="0" xfId="0" applyFont="1" applyFill="1" applyAlignment="1">
      <alignment horizontal="left"/>
    </xf>
    <xf numFmtId="2" fontId="18" fillId="2" borderId="0" xfId="0" applyNumberFormat="1" applyFont="1" applyFill="1" applyAlignment="1">
      <alignment horizontal="right" wrapText="1"/>
    </xf>
    <xf numFmtId="0" fontId="15" fillId="2" borderId="8" xfId="1" applyNumberFormat="1" applyFill="1" applyBorder="1" applyAlignment="1" applyProtection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5" fillId="2" borderId="8" xfId="1" applyNumberFormat="1" applyFill="1" applyBorder="1" applyAlignment="1" applyProtection="1">
      <alignment horizontal="left" vertical="center"/>
    </xf>
    <xf numFmtId="0" fontId="8" fillId="3" borderId="31" xfId="3" applyFont="1" applyFill="1" applyBorder="1" applyAlignment="1">
      <alignment horizontal="center" vertical="center" wrapText="1"/>
    </xf>
    <xf numFmtId="0" fontId="8" fillId="3" borderId="31" xfId="3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left"/>
    </xf>
    <xf numFmtId="0" fontId="6" fillId="2" borderId="2" xfId="0" applyFont="1" applyFill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1" fontId="6" fillId="2" borderId="2" xfId="0" applyNumberFormat="1" applyFont="1" applyFill="1" applyBorder="1" applyAlignment="1">
      <alignment vertical="center" wrapText="1"/>
    </xf>
    <xf numFmtId="0" fontId="7" fillId="2" borderId="2" xfId="0" applyFont="1" applyFill="1" applyBorder="1" applyAlignment="1">
      <alignment vertical="top" wrapText="1"/>
    </xf>
    <xf numFmtId="1" fontId="6" fillId="2" borderId="1" xfId="0" applyNumberFormat="1" applyFont="1" applyFill="1" applyBorder="1"/>
    <xf numFmtId="0" fontId="7" fillId="2" borderId="2" xfId="0" applyFont="1" applyFill="1" applyBorder="1" applyAlignment="1">
      <alignment horizontal="left"/>
    </xf>
    <xf numFmtId="0" fontId="16" fillId="2" borderId="28" xfId="0" applyFont="1" applyFill="1" applyBorder="1" applyAlignment="1">
      <alignment horizontal="center" vertical="center" wrapText="1"/>
    </xf>
    <xf numFmtId="0" fontId="7" fillId="2" borderId="29" xfId="3" applyFont="1" applyFill="1" applyBorder="1" applyAlignment="1">
      <alignment horizontal="left" wrapText="1"/>
    </xf>
    <xf numFmtId="0" fontId="7" fillId="2" borderId="30" xfId="3" applyFont="1" applyFill="1" applyBorder="1" applyAlignment="1">
      <alignment horizontal="left" wrapText="1"/>
    </xf>
    <xf numFmtId="0" fontId="11" fillId="2" borderId="29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left"/>
    </xf>
    <xf numFmtId="0" fontId="7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center"/>
    </xf>
    <xf numFmtId="0" fontId="21" fillId="0" borderId="31" xfId="0" applyFont="1" applyBorder="1" applyAlignment="1">
      <alignment horizontal="center" vertical="center" wrapText="1"/>
    </xf>
    <xf numFmtId="0" fontId="21" fillId="0" borderId="31" xfId="0" applyFont="1" applyBorder="1" applyAlignment="1">
      <alignment vertical="center" wrapText="1"/>
    </xf>
    <xf numFmtId="0" fontId="21" fillId="0" borderId="31" xfId="0" applyFont="1" applyBorder="1" applyAlignment="1">
      <alignment horizontal="center" vertical="center"/>
    </xf>
    <xf numFmtId="0" fontId="21" fillId="0" borderId="31" xfId="0" applyFont="1" applyBorder="1" applyAlignment="1">
      <alignment vertical="center"/>
    </xf>
  </cellXfs>
  <cellStyles count="5">
    <cellStyle name="Hyperlink" xfId="1" builtinId="8"/>
    <cellStyle name="Normal" xfId="0" builtinId="0"/>
    <cellStyle name="Normal_Functional Test Case v1.0" xfId="2" xr:uid="{C48BB584-700B-D64B-8404-4676C820111A}"/>
    <cellStyle name="Normal_Sheet1" xfId="3" xr:uid="{A9264020-C429-5142-9C39-B67A411B90CE}"/>
    <cellStyle name="標準_結合試験(AllOvertheWorld)" xfId="4" xr:uid="{68F5B3C1-6BAD-E84F-8A2E-C6AF50D2838D}"/>
  </cellStyles>
  <dxfs count="0"/>
  <tableStyles count="1" defaultTableStyle="TableStyleMedium9" defaultPivotStyle="PivotStyleLight16">
    <tableStyle name="Invisible" pivot="0" table="0" count="0" xr9:uid="{AF480CE7-EB18-DC4D-AB1A-332A241A87F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8348D-9796-DF47-B02F-62DFD208A110}">
  <dimension ref="A2:G18"/>
  <sheetViews>
    <sheetView tabSelected="1" workbookViewId="0"/>
  </sheetViews>
  <sheetFormatPr defaultColWidth="9" defaultRowHeight="12.75" x14ac:dyDescent="0.2"/>
  <cols>
    <col min="1" max="1" width="2.125" style="1" customWidth="1"/>
    <col min="2" max="2" width="19.625" style="2" customWidth="1"/>
    <col min="3" max="3" width="9.125" style="1" customWidth="1"/>
    <col min="4" max="4" width="14.5" style="1" customWidth="1"/>
    <col min="5" max="5" width="8" style="1" customWidth="1"/>
    <col min="6" max="6" width="31.125" style="1" customWidth="1"/>
    <col min="7" max="7" width="31" style="1" customWidth="1"/>
    <col min="8" max="16384" width="9" style="1"/>
  </cols>
  <sheetData>
    <row r="2" spans="1:7" s="5" customFormat="1" ht="75.75" customHeight="1" x14ac:dyDescent="0.15">
      <c r="A2" s="3"/>
      <c r="B2" s="4"/>
      <c r="C2" s="105" t="s">
        <v>0</v>
      </c>
      <c r="D2" s="105"/>
      <c r="E2" s="105"/>
      <c r="F2" s="105"/>
      <c r="G2" s="105"/>
    </row>
    <row r="3" spans="1:7" x14ac:dyDescent="0.2">
      <c r="B3" s="6"/>
      <c r="C3" s="7"/>
      <c r="F3" s="8"/>
    </row>
    <row r="4" spans="1:7" ht="14.25" customHeight="1" x14ac:dyDescent="0.2">
      <c r="B4" s="9" t="s">
        <v>1</v>
      </c>
      <c r="C4" s="106" t="s">
        <v>2</v>
      </c>
      <c r="D4" s="106"/>
      <c r="E4" s="106"/>
      <c r="F4" s="9" t="s">
        <v>3</v>
      </c>
      <c r="G4" s="10"/>
    </row>
    <row r="5" spans="1:7" ht="14.25" customHeight="1" x14ac:dyDescent="0.2">
      <c r="B5" s="9" t="s">
        <v>4</v>
      </c>
      <c r="C5" s="106" t="s">
        <v>5</v>
      </c>
      <c r="D5" s="106"/>
      <c r="E5" s="106"/>
      <c r="F5" s="9" t="s">
        <v>6</v>
      </c>
      <c r="G5" s="10"/>
    </row>
    <row r="6" spans="1:7" ht="15.75" customHeight="1" x14ac:dyDescent="0.2">
      <c r="B6" s="107" t="s">
        <v>7</v>
      </c>
      <c r="C6" s="108" t="str">
        <f>C5&amp;"_"&amp;"XXX"&amp;"_"&amp;"vx.x"</f>
        <v>&lt;Project Code&gt;_XXX_vx.x</v>
      </c>
      <c r="D6" s="108"/>
      <c r="E6" s="108"/>
      <c r="F6" s="9" t="s">
        <v>8</v>
      </c>
      <c r="G6" s="12"/>
    </row>
    <row r="7" spans="1:7" ht="13.5" customHeight="1" x14ac:dyDescent="0.2">
      <c r="B7" s="107"/>
      <c r="C7" s="108"/>
      <c r="D7" s="108"/>
      <c r="E7" s="108"/>
      <c r="F7" s="9" t="s">
        <v>9</v>
      </c>
      <c r="G7" s="12"/>
    </row>
    <row r="8" spans="1:7" x14ac:dyDescent="0.2">
      <c r="B8" s="13"/>
      <c r="C8" s="14"/>
      <c r="F8" s="6"/>
      <c r="G8" s="7"/>
    </row>
    <row r="10" spans="1:7" x14ac:dyDescent="0.2">
      <c r="B10" s="15" t="s">
        <v>10</v>
      </c>
    </row>
    <row r="11" spans="1:7" s="16" customFormat="1" x14ac:dyDescent="0.15">
      <c r="B11" s="17" t="s">
        <v>11</v>
      </c>
      <c r="C11" s="18" t="s">
        <v>9</v>
      </c>
      <c r="D11" s="18" t="s">
        <v>12</v>
      </c>
      <c r="E11" s="18" t="s">
        <v>13</v>
      </c>
      <c r="F11" s="18" t="s">
        <v>14</v>
      </c>
      <c r="G11" s="19" t="s">
        <v>15</v>
      </c>
    </row>
    <row r="12" spans="1:7" s="20" customFormat="1" ht="25.5" x14ac:dyDescent="0.15">
      <c r="B12" s="21" t="s">
        <v>16</v>
      </c>
      <c r="C12" s="22"/>
      <c r="D12" s="23"/>
      <c r="E12" s="23"/>
      <c r="F12" s="24"/>
      <c r="G12" s="25" t="s">
        <v>50</v>
      </c>
    </row>
    <row r="13" spans="1:7" s="20" customFormat="1" ht="21.75" customHeight="1" x14ac:dyDescent="0.15">
      <c r="B13" s="26"/>
      <c r="C13" s="22"/>
      <c r="D13" s="23"/>
      <c r="E13" s="23"/>
      <c r="F13" s="23"/>
      <c r="G13" s="27"/>
    </row>
    <row r="14" spans="1:7" s="20" customFormat="1" ht="19.5" customHeight="1" x14ac:dyDescent="0.15">
      <c r="B14" s="26"/>
      <c r="C14" s="22"/>
      <c r="D14" s="23"/>
      <c r="E14" s="23"/>
      <c r="F14" s="23"/>
      <c r="G14" s="27"/>
    </row>
    <row r="15" spans="1:7" s="20" customFormat="1" ht="21.75" customHeight="1" x14ac:dyDescent="0.15">
      <c r="B15" s="26"/>
      <c r="C15" s="22"/>
      <c r="D15" s="23"/>
      <c r="E15" s="23"/>
      <c r="F15" s="23"/>
      <c r="G15" s="27"/>
    </row>
    <row r="16" spans="1:7" s="20" customFormat="1" ht="19.5" customHeight="1" x14ac:dyDescent="0.15">
      <c r="B16" s="26"/>
      <c r="C16" s="22"/>
      <c r="D16" s="23"/>
      <c r="E16" s="23"/>
      <c r="F16" s="23"/>
      <c r="G16" s="27"/>
    </row>
    <row r="17" spans="2:7" s="20" customFormat="1" ht="21.75" customHeight="1" x14ac:dyDescent="0.15">
      <c r="B17" s="26"/>
      <c r="C17" s="22"/>
      <c r="D17" s="23"/>
      <c r="E17" s="23"/>
      <c r="F17" s="23"/>
      <c r="G17" s="27"/>
    </row>
    <row r="18" spans="2:7" s="20" customFormat="1" ht="19.5" customHeight="1" x14ac:dyDescent="0.15">
      <c r="B18" s="28"/>
      <c r="C18" s="29"/>
      <c r="D18" s="30"/>
      <c r="E18" s="30"/>
      <c r="F18" s="30"/>
      <c r="G18" s="31"/>
    </row>
  </sheetData>
  <mergeCells count="5">
    <mergeCell ref="C2:G2"/>
    <mergeCell ref="C4:E4"/>
    <mergeCell ref="C5:E5"/>
    <mergeCell ref="B6:B7"/>
    <mergeCell ref="C6:E7"/>
  </mergeCells>
  <phoneticPr fontId="0" type="noConversion"/>
  <pageMargins left="0.47013888888888888" right="0.47013888888888888" top="0.5" bottom="0.35138888888888886" header="0.51180555555555562" footer="0.1701388888888889"/>
  <pageSetup paperSize="9" firstPageNumber="0" orientation="landscape" horizontalDpi="300" verticalDpi="300"/>
  <headerFooter alignWithMargins="0">
    <oddFooter>&amp;L&amp;"Tahoma,Regular"&amp;8 02ae-BM/PM/HDCV/FSOFT v2/0&amp;C&amp;"Tahoma,Regular"&amp;8Internal use&amp;R&amp;"tahomaTahoma,Regular"&amp;8&amp;P/&amp;N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EC800-0BA0-DF42-BAF3-9D3D5760E564}">
  <dimension ref="B1:F21"/>
  <sheetViews>
    <sheetView zoomScale="130" zoomScaleNormal="130" workbookViewId="0">
      <selection activeCell="D10" sqref="D10"/>
    </sheetView>
  </sheetViews>
  <sheetFormatPr defaultColWidth="9" defaultRowHeight="12.75" x14ac:dyDescent="0.2"/>
  <cols>
    <col min="1" max="1" width="1.375" style="8" customWidth="1"/>
    <col min="2" max="2" width="11.875" style="32" customWidth="1"/>
    <col min="3" max="3" width="26.5" style="33" customWidth="1"/>
    <col min="4" max="4" width="17.125" style="33" customWidth="1"/>
    <col min="5" max="5" width="28.125" style="33" customWidth="1"/>
    <col min="6" max="6" width="30.625" style="33" customWidth="1"/>
    <col min="7" max="16384" width="9" style="8"/>
  </cols>
  <sheetData>
    <row r="1" spans="2:6" ht="25.5" x14ac:dyDescent="0.35">
      <c r="B1" s="34"/>
      <c r="D1" s="35" t="s">
        <v>17</v>
      </c>
      <c r="E1" s="36"/>
    </row>
    <row r="2" spans="2:6" ht="13.5" customHeight="1" x14ac:dyDescent="0.2">
      <c r="B2" s="34"/>
      <c r="D2" s="37"/>
      <c r="E2" s="37"/>
    </row>
    <row r="3" spans="2:6" x14ac:dyDescent="0.2">
      <c r="B3" s="111" t="s">
        <v>1</v>
      </c>
      <c r="C3" s="111"/>
      <c r="D3" s="112" t="str">
        <f>Cover!C4</f>
        <v>&lt;Project Name&gt;</v>
      </c>
      <c r="E3" s="112"/>
      <c r="F3" s="112"/>
    </row>
    <row r="4" spans="2:6" x14ac:dyDescent="0.2">
      <c r="B4" s="111" t="s">
        <v>4</v>
      </c>
      <c r="C4" s="111"/>
      <c r="D4" s="112" t="str">
        <f>Cover!C5</f>
        <v>&lt;Project Code&gt;</v>
      </c>
      <c r="E4" s="112"/>
      <c r="F4" s="112"/>
    </row>
    <row r="5" spans="2:6" s="38" customFormat="1" ht="84.75" customHeight="1" x14ac:dyDescent="0.2">
      <c r="B5" s="109" t="s">
        <v>18</v>
      </c>
      <c r="C5" s="109"/>
      <c r="D5" s="110" t="s">
        <v>19</v>
      </c>
      <c r="E5" s="110"/>
      <c r="F5" s="110"/>
    </row>
    <row r="6" spans="2:6" x14ac:dyDescent="0.2">
      <c r="B6" s="39"/>
      <c r="C6" s="8"/>
      <c r="D6" s="8"/>
      <c r="E6" s="8"/>
      <c r="F6" s="8"/>
    </row>
    <row r="7" spans="2:6" s="40" customFormat="1" x14ac:dyDescent="0.15">
      <c r="B7" s="41"/>
      <c r="C7" s="42"/>
      <c r="D7" s="42"/>
      <c r="E7" s="42"/>
      <c r="F7" s="42"/>
    </row>
    <row r="8" spans="2:6" s="43" customFormat="1" ht="21" customHeight="1" x14ac:dyDescent="0.2">
      <c r="B8" s="44" t="s">
        <v>20</v>
      </c>
      <c r="C8" s="45" t="s">
        <v>21</v>
      </c>
      <c r="D8" s="45" t="s">
        <v>22</v>
      </c>
      <c r="E8" s="46" t="s">
        <v>23</v>
      </c>
      <c r="F8" s="47" t="s">
        <v>24</v>
      </c>
    </row>
    <row r="9" spans="2:6" x14ac:dyDescent="0.2">
      <c r="B9" s="48">
        <v>1</v>
      </c>
      <c r="C9" s="49" t="s">
        <v>51</v>
      </c>
      <c r="D9" s="50" t="s">
        <v>25</v>
      </c>
      <c r="E9" s="50"/>
      <c r="F9" s="51"/>
    </row>
    <row r="10" spans="2:6" ht="13.5" x14ac:dyDescent="0.2">
      <c r="B10" s="48">
        <v>2</v>
      </c>
      <c r="C10" s="49" t="s">
        <v>52</v>
      </c>
      <c r="D10" s="101" t="s">
        <v>26</v>
      </c>
      <c r="E10" s="50"/>
      <c r="F10" s="51"/>
    </row>
    <row r="11" spans="2:6" ht="13.5" x14ac:dyDescent="0.2">
      <c r="B11" s="48"/>
      <c r="C11" s="49"/>
      <c r="D11" s="102"/>
      <c r="E11" s="50"/>
      <c r="F11" s="51"/>
    </row>
    <row r="12" spans="2:6" x14ac:dyDescent="0.2">
      <c r="B12" s="48"/>
      <c r="C12" s="49"/>
      <c r="D12" s="50"/>
      <c r="E12" s="50"/>
      <c r="F12" s="51"/>
    </row>
    <row r="13" spans="2:6" x14ac:dyDescent="0.2">
      <c r="B13" s="48"/>
      <c r="C13" s="49"/>
      <c r="D13" s="50"/>
      <c r="E13" s="50"/>
      <c r="F13" s="51"/>
    </row>
    <row r="14" spans="2:6" x14ac:dyDescent="0.2">
      <c r="B14" s="48"/>
      <c r="C14" s="49"/>
      <c r="D14" s="52"/>
      <c r="E14" s="52"/>
      <c r="F14" s="51"/>
    </row>
    <row r="15" spans="2:6" x14ac:dyDescent="0.2">
      <c r="B15" s="48"/>
      <c r="C15" s="49"/>
      <c r="D15" s="52"/>
      <c r="E15" s="52"/>
      <c r="F15" s="51"/>
    </row>
    <row r="16" spans="2:6" x14ac:dyDescent="0.2">
      <c r="B16" s="48"/>
      <c r="C16" s="49"/>
      <c r="D16" s="52"/>
      <c r="E16" s="52"/>
      <c r="F16" s="51"/>
    </row>
    <row r="17" spans="2:6" x14ac:dyDescent="0.2">
      <c r="B17" s="48"/>
      <c r="C17" s="49"/>
      <c r="D17" s="52"/>
      <c r="E17" s="52"/>
      <c r="F17" s="51"/>
    </row>
    <row r="18" spans="2:6" x14ac:dyDescent="0.2">
      <c r="B18" s="48"/>
      <c r="C18" s="49"/>
      <c r="D18" s="52"/>
      <c r="E18" s="52"/>
      <c r="F18" s="51"/>
    </row>
    <row r="19" spans="2:6" x14ac:dyDescent="0.2">
      <c r="B19" s="48"/>
      <c r="C19" s="49"/>
      <c r="D19" s="52"/>
      <c r="E19" s="52"/>
      <c r="F19" s="51"/>
    </row>
    <row r="20" spans="2:6" x14ac:dyDescent="0.2">
      <c r="B20" s="48"/>
      <c r="C20" s="49"/>
      <c r="D20" s="52"/>
      <c r="E20" s="52"/>
      <c r="F20" s="51"/>
    </row>
    <row r="21" spans="2:6" x14ac:dyDescent="0.2">
      <c r="B21" s="53"/>
      <c r="C21" s="54"/>
      <c r="D21" s="55"/>
      <c r="E21" s="55"/>
      <c r="F21" s="56"/>
    </row>
  </sheetData>
  <mergeCells count="6">
    <mergeCell ref="B5:C5"/>
    <mergeCell ref="D5:F5"/>
    <mergeCell ref="B3:C3"/>
    <mergeCell ref="D3:F3"/>
    <mergeCell ref="B4:C4"/>
    <mergeCell ref="D4:F4"/>
  </mergeCells>
  <phoneticPr fontId="0" type="noConversion"/>
  <hyperlinks>
    <hyperlink ref="D9" location="Module1!B10" display="Module1" xr:uid="{FC77F630-5337-2145-ADDB-A7DD980E1A2D}"/>
    <hyperlink ref="D10" location="Module2!A1" display="Module2" xr:uid="{EFC3B2F0-9872-0B4D-9F85-37113E4168DE}"/>
  </hyperlinks>
  <pageMargins left="0.74791666666666667" right="0.74791666666666667" top="0.98402777777777783" bottom="1.1506944444444445" header="0.51180555555555562" footer="0.98402777777777783"/>
  <pageSetup paperSize="9" firstPageNumber="0" orientation="landscape" horizontalDpi="300" verticalDpi="300"/>
  <headerFooter alignWithMargins="0">
    <oddFooter>&amp;L&amp;"Tahoma,Regular"&amp;8 02ae-BM/PM/HDCV/FSOFT v2/0&amp;C&amp;"tahoma,Regular"&amp;8Internal use&amp;R&amp;"tahoma,Regular"&amp;8&amp;P/&amp;N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6ABC5-B443-FF41-BA73-04E67E6728A8}">
  <dimension ref="A1:I14"/>
  <sheetViews>
    <sheetView zoomScale="110" zoomScaleNormal="110" workbookViewId="0">
      <pane ySplit="8" topLeftCell="A9" activePane="bottomLeft" state="frozen"/>
      <selection pane="bottomLeft" activeCell="F12" sqref="F12"/>
    </sheetView>
  </sheetViews>
  <sheetFormatPr defaultColWidth="9" defaultRowHeight="12.75" x14ac:dyDescent="0.2"/>
  <cols>
    <col min="1" max="1" width="14.375" style="8" customWidth="1"/>
    <col min="2" max="2" width="19.875" style="8" customWidth="1"/>
    <col min="3" max="3" width="37.625" style="8" customWidth="1"/>
    <col min="4" max="4" width="28.5" style="8" customWidth="1"/>
    <col min="5" max="5" width="31.625" style="8" customWidth="1"/>
    <col min="6" max="6" width="23.875" style="8" customWidth="1"/>
    <col min="7" max="7" width="14.875" style="8" customWidth="1"/>
    <col min="8" max="8" width="19.375" style="8" customWidth="1"/>
    <col min="9" max="9" width="0" style="8" hidden="1" customWidth="1"/>
    <col min="10" max="10" width="20.5" style="8" customWidth="1"/>
    <col min="11" max="11" width="19.5" style="8" customWidth="1"/>
    <col min="12" max="16384" width="9" style="8"/>
  </cols>
  <sheetData>
    <row r="1" spans="1:9" s="61" customFormat="1" x14ac:dyDescent="0.2">
      <c r="A1" s="57"/>
      <c r="B1" s="58"/>
      <c r="C1" s="58"/>
      <c r="D1" s="58"/>
      <c r="E1" s="58"/>
      <c r="F1" s="59"/>
      <c r="G1" s="60"/>
      <c r="H1" s="38"/>
    </row>
    <row r="2" spans="1:9" s="61" customFormat="1" ht="15" customHeight="1" x14ac:dyDescent="0.2">
      <c r="A2" s="62" t="s">
        <v>27</v>
      </c>
      <c r="B2" s="114" t="s">
        <v>28</v>
      </c>
      <c r="C2" s="114"/>
      <c r="D2" s="114"/>
      <c r="E2" s="114"/>
      <c r="F2" s="114"/>
      <c r="G2" s="38"/>
      <c r="H2" s="38"/>
      <c r="I2" s="61" t="s">
        <v>29</v>
      </c>
    </row>
    <row r="3" spans="1:9" s="61" customFormat="1" ht="25.5" customHeight="1" x14ac:dyDescent="0.2">
      <c r="A3" s="63" t="s">
        <v>30</v>
      </c>
      <c r="B3" s="114" t="s">
        <v>31</v>
      </c>
      <c r="C3" s="114"/>
      <c r="D3" s="114"/>
      <c r="E3" s="114"/>
      <c r="F3" s="114"/>
      <c r="G3" s="38"/>
      <c r="H3" s="38"/>
      <c r="I3" s="61" t="s">
        <v>32</v>
      </c>
    </row>
    <row r="4" spans="1:9" s="61" customFormat="1" ht="18" customHeight="1" x14ac:dyDescent="0.2">
      <c r="A4" s="62" t="s">
        <v>33</v>
      </c>
      <c r="B4" s="115"/>
      <c r="C4" s="115"/>
      <c r="D4" s="115"/>
      <c r="E4" s="115"/>
      <c r="F4" s="115"/>
      <c r="G4" s="38"/>
      <c r="H4" s="38"/>
      <c r="I4" s="64"/>
    </row>
    <row r="5" spans="1:9" s="61" customFormat="1" ht="19.5" customHeight="1" x14ac:dyDescent="0.2">
      <c r="A5" s="65" t="s">
        <v>29</v>
      </c>
      <c r="B5" s="66" t="s">
        <v>32</v>
      </c>
      <c r="C5" s="66" t="s">
        <v>34</v>
      </c>
      <c r="D5" s="67" t="s">
        <v>35</v>
      </c>
      <c r="E5" s="116" t="s">
        <v>36</v>
      </c>
      <c r="F5" s="116"/>
      <c r="G5" s="68"/>
      <c r="H5" s="68"/>
      <c r="I5" s="61" t="s">
        <v>37</v>
      </c>
    </row>
    <row r="6" spans="1:9" s="61" customFormat="1" ht="15" customHeight="1" x14ac:dyDescent="0.2">
      <c r="A6" s="69">
        <f>COUNTIF(F9:F964,"Pass")</f>
        <v>3</v>
      </c>
      <c r="B6" s="70">
        <f>COUNTIF(F9:F964,"Fail")</f>
        <v>0</v>
      </c>
      <c r="C6" s="70">
        <f>E6-D6-B6-A6</f>
        <v>0</v>
      </c>
      <c r="D6" s="71">
        <f>COUNTIF(G$9:G$964,"N/A")</f>
        <v>0</v>
      </c>
      <c r="E6" s="113">
        <v>3</v>
      </c>
      <c r="F6" s="113"/>
      <c r="G6" s="68"/>
      <c r="H6" s="68"/>
      <c r="I6" s="61" t="s">
        <v>35</v>
      </c>
    </row>
    <row r="7" spans="1:9" s="61" customFormat="1" ht="15" customHeight="1" x14ac:dyDescent="0.2">
      <c r="D7" s="72"/>
      <c r="E7" s="72"/>
      <c r="F7" s="68"/>
      <c r="G7" s="68"/>
      <c r="H7" s="68"/>
    </row>
    <row r="8" spans="1:9" s="61" customFormat="1" ht="25.5" customHeight="1" x14ac:dyDescent="0.2">
      <c r="A8" s="103" t="s">
        <v>38</v>
      </c>
      <c r="B8" s="103" t="s">
        <v>53</v>
      </c>
      <c r="C8" s="103" t="s">
        <v>54</v>
      </c>
      <c r="D8" s="103" t="s">
        <v>55</v>
      </c>
      <c r="E8" s="103" t="s">
        <v>56</v>
      </c>
      <c r="F8" s="104" t="s">
        <v>39</v>
      </c>
    </row>
    <row r="9" spans="1:9" ht="72.95" customHeight="1" x14ac:dyDescent="0.2">
      <c r="A9" s="120" t="s">
        <v>57</v>
      </c>
      <c r="B9" s="120" t="s">
        <v>51</v>
      </c>
      <c r="C9" s="121" t="s">
        <v>65</v>
      </c>
      <c r="D9" s="121" t="s">
        <v>76</v>
      </c>
      <c r="E9" s="121" t="s">
        <v>79</v>
      </c>
      <c r="F9" s="122" t="s">
        <v>29</v>
      </c>
    </row>
    <row r="10" spans="1:9" ht="72.95" customHeight="1" x14ac:dyDescent="0.2">
      <c r="A10" s="120" t="s">
        <v>58</v>
      </c>
      <c r="B10" s="120" t="s">
        <v>51</v>
      </c>
      <c r="C10" s="121" t="s">
        <v>75</v>
      </c>
      <c r="D10" s="121" t="s">
        <v>77</v>
      </c>
      <c r="E10" s="121" t="s">
        <v>80</v>
      </c>
      <c r="F10" s="122" t="s">
        <v>29</v>
      </c>
    </row>
    <row r="11" spans="1:9" ht="72.95" customHeight="1" x14ac:dyDescent="0.2">
      <c r="A11" s="120" t="s">
        <v>59</v>
      </c>
      <c r="B11" s="120" t="s">
        <v>60</v>
      </c>
      <c r="C11" s="121" t="s">
        <v>74</v>
      </c>
      <c r="D11" s="121" t="s">
        <v>78</v>
      </c>
      <c r="E11" s="121" t="s">
        <v>66</v>
      </c>
      <c r="F11" s="122" t="s">
        <v>29</v>
      </c>
    </row>
    <row r="12" spans="1:9" ht="72.95" customHeight="1" x14ac:dyDescent="0.2"/>
    <row r="13" spans="1:9" ht="72.95" customHeight="1" x14ac:dyDescent="0.2"/>
    <row r="14" spans="1:9" ht="108.95" customHeight="1" x14ac:dyDescent="0.2"/>
  </sheetData>
  <mergeCells count="5">
    <mergeCell ref="E6:F6"/>
    <mergeCell ref="B2:F2"/>
    <mergeCell ref="B3:F3"/>
    <mergeCell ref="B4:F4"/>
    <mergeCell ref="E5:F5"/>
  </mergeCells>
  <phoneticPr fontId="0" type="noConversion"/>
  <dataValidations disablePrompts="1" count="1">
    <dataValidation type="list" allowBlank="1" showErrorMessage="1" sqref="F1:F3 F7:F8 F15:F111" xr:uid="{0926D9D0-1AE7-204E-AFDC-71D73AD07237}">
      <formula1>$I$2:$I$6</formula1>
      <formula2>0</formula2>
    </dataValidation>
  </dataValidations>
  <pageMargins left="0.74791666666666667" right="0.25" top="0.75" bottom="0.98402777777777772" header="0.5" footer="0.5"/>
  <pageSetup paperSize="9" firstPageNumber="0" orientation="landscape" horizontalDpi="300" verticalDpi="300"/>
  <headerFooter alignWithMargins="0">
    <oddHeader>&amp;LFacilitate_Test Case\Company&amp;Rv1.0</oddHeader>
    <oddFooter>&amp;L&amp;"Tahoma,Regular"&amp;8 02ae-BM/PM/HDCV/FSOFT v2/0&amp;C&amp;"Tahoma,Regular"&amp;10Internal use&amp;R&amp;"Tahoma,Regular"&amp;8&amp;P/&amp;N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163C4-5C5E-D449-BB67-F443A6D227A8}">
  <dimension ref="A1:J11"/>
  <sheetViews>
    <sheetView zoomScale="120" zoomScaleNormal="120" workbookViewId="0">
      <pane ySplit="7" topLeftCell="A8" activePane="bottomLeft" state="frozen"/>
      <selection pane="bottomLeft" activeCell="C19" sqref="C19"/>
    </sheetView>
  </sheetViews>
  <sheetFormatPr defaultColWidth="9" defaultRowHeight="12.75" x14ac:dyDescent="0.2"/>
  <cols>
    <col min="1" max="1" width="14.375" style="8" customWidth="1"/>
    <col min="2" max="2" width="22.375" style="8" customWidth="1"/>
    <col min="3" max="3" width="41" style="8" customWidth="1"/>
    <col min="4" max="4" width="36" style="8" customWidth="1"/>
    <col min="5" max="5" width="54.5" style="8" customWidth="1"/>
    <col min="6" max="6" width="12.625" style="8" customWidth="1"/>
    <col min="7" max="7" width="14.875" style="8" customWidth="1"/>
    <col min="8" max="8" width="17.375" style="8" customWidth="1"/>
    <col min="9" max="9" width="0" style="8" hidden="1" customWidth="1"/>
    <col min="10" max="10" width="22" style="8" customWidth="1"/>
    <col min="11" max="11" width="15.125" style="8" customWidth="1"/>
    <col min="12" max="16384" width="9" style="8"/>
  </cols>
  <sheetData>
    <row r="1" spans="1:10" s="61" customFormat="1" ht="13.5" thickBot="1" x14ac:dyDescent="0.25">
      <c r="A1" s="57"/>
      <c r="B1" s="58"/>
      <c r="C1" s="58"/>
      <c r="D1" s="58"/>
      <c r="E1" s="58"/>
      <c r="F1" s="59"/>
      <c r="G1" s="60"/>
      <c r="H1" s="38"/>
      <c r="J1" s="38"/>
    </row>
    <row r="2" spans="1:10" s="61" customFormat="1" ht="15" customHeight="1" x14ac:dyDescent="0.2">
      <c r="A2" s="62" t="s">
        <v>27</v>
      </c>
      <c r="B2" s="114" t="s">
        <v>28</v>
      </c>
      <c r="C2" s="114"/>
      <c r="D2" s="114"/>
      <c r="E2" s="114"/>
      <c r="F2" s="114"/>
      <c r="G2" s="38"/>
      <c r="H2" s="38"/>
      <c r="I2" s="61" t="s">
        <v>29</v>
      </c>
      <c r="J2" s="38"/>
    </row>
    <row r="3" spans="1:10" s="61" customFormat="1" ht="25.5" customHeight="1" x14ac:dyDescent="0.2">
      <c r="A3" s="63" t="s">
        <v>30</v>
      </c>
      <c r="B3" s="114" t="s">
        <v>31</v>
      </c>
      <c r="C3" s="114"/>
      <c r="D3" s="114"/>
      <c r="E3" s="114"/>
      <c r="F3" s="114"/>
      <c r="G3" s="38"/>
      <c r="H3" s="38"/>
      <c r="I3" s="61" t="s">
        <v>32</v>
      </c>
      <c r="J3" s="38"/>
    </row>
    <row r="4" spans="1:10" s="61" customFormat="1" ht="18" customHeight="1" x14ac:dyDescent="0.2">
      <c r="A4" s="62" t="s">
        <v>33</v>
      </c>
      <c r="B4" s="115"/>
      <c r="C4" s="115"/>
      <c r="D4" s="115"/>
      <c r="E4" s="115"/>
      <c r="F4" s="115"/>
      <c r="G4" s="38"/>
      <c r="H4" s="38"/>
      <c r="I4" s="64"/>
      <c r="J4" s="38"/>
    </row>
    <row r="5" spans="1:10" s="61" customFormat="1" ht="19.5" customHeight="1" x14ac:dyDescent="0.2">
      <c r="A5" s="65" t="s">
        <v>29</v>
      </c>
      <c r="B5" s="66" t="s">
        <v>32</v>
      </c>
      <c r="C5" s="66" t="s">
        <v>34</v>
      </c>
      <c r="D5" s="67" t="s">
        <v>35</v>
      </c>
      <c r="E5" s="116" t="s">
        <v>36</v>
      </c>
      <c r="F5" s="116"/>
      <c r="G5" s="68"/>
      <c r="H5" s="68"/>
      <c r="I5" s="61" t="s">
        <v>37</v>
      </c>
      <c r="J5" s="68"/>
    </row>
    <row r="6" spans="1:10" s="61" customFormat="1" ht="15" customHeight="1" thickBot="1" x14ac:dyDescent="0.25">
      <c r="A6" s="69">
        <f>COUNTIF(F8:F984,"Pass")</f>
        <v>3</v>
      </c>
      <c r="B6" s="70">
        <f>COUNTIF(F8:F984,"Fail")</f>
        <v>0</v>
      </c>
      <c r="C6" s="70">
        <f>E6-D6-B6-A6</f>
        <v>0</v>
      </c>
      <c r="D6" s="71">
        <f>COUNTIF(F$8:F$984,"N/A")</f>
        <v>0</v>
      </c>
      <c r="E6" s="113">
        <f>ROWS(A9:A11)</f>
        <v>3</v>
      </c>
      <c r="F6" s="113"/>
      <c r="G6" s="68"/>
      <c r="H6" s="68"/>
      <c r="I6" s="61" t="s">
        <v>35</v>
      </c>
      <c r="J6" s="68"/>
    </row>
    <row r="7" spans="1:10" s="61" customFormat="1" ht="15" customHeight="1" x14ac:dyDescent="0.2">
      <c r="D7" s="72"/>
      <c r="E7" s="72"/>
      <c r="F7" s="68"/>
      <c r="G7" s="68"/>
      <c r="H7" s="68"/>
      <c r="J7" s="68"/>
    </row>
    <row r="8" spans="1:10" x14ac:dyDescent="0.2">
      <c r="A8" s="103" t="s">
        <v>38</v>
      </c>
      <c r="B8" s="103" t="s">
        <v>53</v>
      </c>
      <c r="C8" s="103" t="s">
        <v>54</v>
      </c>
      <c r="D8" s="103" t="s">
        <v>55</v>
      </c>
      <c r="E8" s="103" t="s">
        <v>56</v>
      </c>
      <c r="F8" s="104" t="s">
        <v>39</v>
      </c>
    </row>
    <row r="9" spans="1:10" ht="54" x14ac:dyDescent="0.2">
      <c r="A9" s="120" t="s">
        <v>61</v>
      </c>
      <c r="B9" s="120" t="s">
        <v>52</v>
      </c>
      <c r="C9" s="121" t="s">
        <v>67</v>
      </c>
      <c r="D9" s="121" t="s">
        <v>81</v>
      </c>
      <c r="E9" s="121" t="s">
        <v>68</v>
      </c>
      <c r="F9" s="123" t="s">
        <v>29</v>
      </c>
    </row>
    <row r="10" spans="1:10" ht="36" x14ac:dyDescent="0.2">
      <c r="A10" s="120" t="s">
        <v>62</v>
      </c>
      <c r="B10" s="120" t="s">
        <v>52</v>
      </c>
      <c r="C10" s="121" t="s">
        <v>69</v>
      </c>
      <c r="D10" s="121" t="s">
        <v>82</v>
      </c>
      <c r="E10" s="121" t="s">
        <v>70</v>
      </c>
      <c r="F10" s="123" t="s">
        <v>29</v>
      </c>
    </row>
    <row r="11" spans="1:10" ht="54" x14ac:dyDescent="0.2">
      <c r="A11" s="120" t="s">
        <v>63</v>
      </c>
      <c r="B11" s="120" t="s">
        <v>64</v>
      </c>
      <c r="C11" s="121" t="s">
        <v>71</v>
      </c>
      <c r="D11" s="121" t="s">
        <v>72</v>
      </c>
      <c r="E11" s="121" t="s">
        <v>73</v>
      </c>
      <c r="F11" s="123" t="s">
        <v>29</v>
      </c>
    </row>
  </sheetData>
  <mergeCells count="5">
    <mergeCell ref="B2:F2"/>
    <mergeCell ref="B3:F3"/>
    <mergeCell ref="B4:F4"/>
    <mergeCell ref="E5:F5"/>
    <mergeCell ref="E6:F6"/>
  </mergeCells>
  <phoneticPr fontId="20" type="noConversion"/>
  <dataValidations count="1">
    <dataValidation type="list" allowBlank="1" showErrorMessage="1" sqref="F1:F3 F12:F126 F7:F8" xr:uid="{7406C162-9956-9F49-A04A-E6797D53F35A}">
      <formula1>$I$2:$I$6</formula1>
      <formula2>0</formula2>
    </dataValidation>
  </dataValidations>
  <pageMargins left="0.74791666666666667" right="0.25" top="0.75" bottom="0.98402777777777772" header="0.5" footer="0.5"/>
  <pageSetup paperSize="9" firstPageNumber="0" orientation="landscape" horizontalDpi="300" verticalDpi="300"/>
  <headerFooter alignWithMargins="0">
    <oddHeader>&amp;LFacilitate_Test Case\Company&amp;Rv1.0</oddHeader>
    <oddFooter>&amp;L&amp;"Tahoma,Regular"&amp;8 02ae-BM/PM/HDCV/FSOFT v2/0&amp;C&amp;"Tahoma,Regular"&amp;10Internal use&amp;R&amp;"Tahoma,Regular"&amp;8&amp;P/&amp;N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36199-8AF6-B940-8B43-002AEC695EDA}">
  <dimension ref="A1:H17"/>
  <sheetViews>
    <sheetView workbookViewId="0">
      <selection activeCell="G32" sqref="G32"/>
    </sheetView>
  </sheetViews>
  <sheetFormatPr defaultColWidth="9" defaultRowHeight="12.75" x14ac:dyDescent="0.2"/>
  <cols>
    <col min="1" max="1" width="9" style="8"/>
    <col min="2" max="2" width="13.5" style="8" customWidth="1"/>
    <col min="3" max="3" width="19.375" style="8" customWidth="1"/>
    <col min="4" max="7" width="9" style="8"/>
    <col min="8" max="9" width="33.125" style="8" customWidth="1"/>
    <col min="10" max="16384" width="9" style="8"/>
  </cols>
  <sheetData>
    <row r="1" spans="1:8" ht="25.5" customHeight="1" x14ac:dyDescent="0.35">
      <c r="B1" s="119" t="s">
        <v>40</v>
      </c>
      <c r="C1" s="119"/>
      <c r="D1" s="119"/>
      <c r="E1" s="119"/>
      <c r="F1" s="119"/>
      <c r="G1" s="119"/>
      <c r="H1" s="119"/>
    </row>
    <row r="2" spans="1:8" ht="14.25" customHeight="1" x14ac:dyDescent="0.2">
      <c r="A2" s="73"/>
      <c r="B2" s="73"/>
      <c r="C2" s="74"/>
      <c r="D2" s="74"/>
      <c r="E2" s="74"/>
      <c r="F2" s="74"/>
      <c r="G2" s="74"/>
      <c r="H2" s="75"/>
    </row>
    <row r="3" spans="1:8" ht="12" customHeight="1" x14ac:dyDescent="0.2">
      <c r="B3" s="11" t="s">
        <v>1</v>
      </c>
      <c r="C3" s="112" t="s">
        <v>2</v>
      </c>
      <c r="D3" s="112"/>
      <c r="E3" s="117" t="s">
        <v>3</v>
      </c>
      <c r="F3" s="117"/>
      <c r="G3" s="76"/>
      <c r="H3" s="77"/>
    </row>
    <row r="4" spans="1:8" ht="12" customHeight="1" x14ac:dyDescent="0.2">
      <c r="B4" s="11" t="s">
        <v>4</v>
      </c>
      <c r="C4" s="112" t="s">
        <v>5</v>
      </c>
      <c r="D4" s="112"/>
      <c r="E4" s="117" t="s">
        <v>6</v>
      </c>
      <c r="F4" s="117"/>
      <c r="G4" s="76"/>
      <c r="H4" s="77"/>
    </row>
    <row r="5" spans="1:8" ht="12" customHeight="1" x14ac:dyDescent="0.2">
      <c r="B5" s="78" t="s">
        <v>7</v>
      </c>
      <c r="C5" s="112" t="str">
        <f>C4&amp;"_"&amp;"Test Report"&amp;"_"&amp;"vx.x"</f>
        <v>&lt;Project Code&gt;_Test Report_vx.x</v>
      </c>
      <c r="D5" s="112"/>
      <c r="E5" s="117" t="s">
        <v>8</v>
      </c>
      <c r="F5" s="117"/>
      <c r="G5" s="76"/>
      <c r="H5" s="79" t="s">
        <v>41</v>
      </c>
    </row>
    <row r="6" spans="1:8" ht="21.75" customHeight="1" x14ac:dyDescent="0.2">
      <c r="A6" s="73"/>
      <c r="B6" s="78" t="s">
        <v>42</v>
      </c>
      <c r="C6" s="118" t="s">
        <v>43</v>
      </c>
      <c r="D6" s="118"/>
      <c r="E6" s="118"/>
      <c r="F6" s="118"/>
      <c r="G6" s="118"/>
      <c r="H6" s="118"/>
    </row>
    <row r="7" spans="1:8" ht="14.25" customHeight="1" x14ac:dyDescent="0.2">
      <c r="A7" s="73"/>
      <c r="B7" s="13"/>
      <c r="C7" s="80"/>
      <c r="D7" s="74"/>
      <c r="E7" s="74"/>
      <c r="F7" s="74"/>
      <c r="G7" s="74"/>
      <c r="H7" s="75"/>
    </row>
    <row r="8" spans="1:8" x14ac:dyDescent="0.2">
      <c r="B8" s="13"/>
      <c r="C8" s="80"/>
      <c r="D8" s="74"/>
      <c r="E8" s="74"/>
      <c r="F8" s="74"/>
      <c r="G8" s="74"/>
      <c r="H8" s="75"/>
    </row>
    <row r="10" spans="1:8" x14ac:dyDescent="0.2">
      <c r="A10" s="81"/>
      <c r="B10" s="82" t="s">
        <v>20</v>
      </c>
      <c r="C10" s="83" t="s">
        <v>44</v>
      </c>
      <c r="D10" s="84" t="s">
        <v>29</v>
      </c>
      <c r="E10" s="83" t="s">
        <v>32</v>
      </c>
      <c r="F10" s="83" t="s">
        <v>34</v>
      </c>
      <c r="G10" s="85" t="s">
        <v>35</v>
      </c>
      <c r="H10" s="86" t="s">
        <v>45</v>
      </c>
    </row>
    <row r="11" spans="1:8" x14ac:dyDescent="0.2">
      <c r="A11" s="81"/>
      <c r="B11" s="87">
        <v>1</v>
      </c>
      <c r="C11" s="88" t="str">
        <f>Module1!B2</f>
        <v xml:space="preserve">Module1 </v>
      </c>
      <c r="D11" s="89">
        <f>Module1!A6</f>
        <v>3</v>
      </c>
      <c r="E11" s="89">
        <f>Module1!B6</f>
        <v>0</v>
      </c>
      <c r="F11" s="89">
        <f>Module1!C6</f>
        <v>0</v>
      </c>
      <c r="G11" s="90">
        <f>Module1!D6</f>
        <v>0</v>
      </c>
      <c r="H11" s="91">
        <f>Module1!E6</f>
        <v>3</v>
      </c>
    </row>
    <row r="12" spans="1:8" x14ac:dyDescent="0.2">
      <c r="A12" s="81"/>
      <c r="B12" s="87">
        <v>2</v>
      </c>
      <c r="C12" s="88" t="s">
        <v>26</v>
      </c>
      <c r="D12" s="89">
        <f>Module2!A6</f>
        <v>3</v>
      </c>
      <c r="E12" s="89">
        <f>Module2!B6</f>
        <v>0</v>
      </c>
      <c r="F12" s="89">
        <f>Module2!C6</f>
        <v>0</v>
      </c>
      <c r="G12" s="89">
        <f>Module2!D6</f>
        <v>0</v>
      </c>
      <c r="H12" s="89">
        <f>Module2!E6</f>
        <v>3</v>
      </c>
    </row>
    <row r="13" spans="1:8" x14ac:dyDescent="0.2">
      <c r="A13" s="81"/>
      <c r="B13" s="87"/>
      <c r="C13" s="88"/>
      <c r="D13" s="89"/>
      <c r="E13" s="89"/>
      <c r="F13" s="89"/>
      <c r="G13" s="90"/>
      <c r="H13" s="91"/>
    </row>
    <row r="14" spans="1:8" x14ac:dyDescent="0.2">
      <c r="A14" s="81"/>
      <c r="B14" s="92"/>
      <c r="C14" s="93" t="s">
        <v>46</v>
      </c>
      <c r="D14" s="94">
        <f>SUM(D9:D13)</f>
        <v>6</v>
      </c>
      <c r="E14" s="94">
        <f>SUM(E9:E13)</f>
        <v>0</v>
      </c>
      <c r="F14" s="94">
        <f>SUM(F9:F13)</f>
        <v>0</v>
      </c>
      <c r="G14" s="94">
        <f>SUM(G9:G13)</f>
        <v>0</v>
      </c>
      <c r="H14" s="95">
        <f>SUM(H9:H13)</f>
        <v>6</v>
      </c>
    </row>
    <row r="15" spans="1:8" x14ac:dyDescent="0.2">
      <c r="B15" s="96"/>
      <c r="D15" s="97"/>
      <c r="E15" s="98"/>
      <c r="F15" s="98"/>
      <c r="G15" s="98"/>
      <c r="H15" s="98"/>
    </row>
    <row r="16" spans="1:8" x14ac:dyDescent="0.2">
      <c r="C16" s="99" t="s">
        <v>47</v>
      </c>
      <c r="E16" s="100">
        <f>(D14+E14)*100/(H14-G14)</f>
        <v>100</v>
      </c>
      <c r="F16" s="8" t="s">
        <v>48</v>
      </c>
      <c r="H16" s="72"/>
    </row>
    <row r="17" spans="3:8" x14ac:dyDescent="0.2">
      <c r="C17" s="99" t="s">
        <v>49</v>
      </c>
      <c r="E17" s="100">
        <f>D14*100/(H14-G14)</f>
        <v>100</v>
      </c>
      <c r="F17" s="8" t="s">
        <v>48</v>
      </c>
      <c r="H17" s="72"/>
    </row>
  </sheetData>
  <mergeCells count="8">
    <mergeCell ref="C5:D5"/>
    <mergeCell ref="E5:F5"/>
    <mergeCell ref="C6:H6"/>
    <mergeCell ref="B1:H1"/>
    <mergeCell ref="C3:D3"/>
    <mergeCell ref="E3:F3"/>
    <mergeCell ref="C4:D4"/>
    <mergeCell ref="E4:F4"/>
  </mergeCells>
  <phoneticPr fontId="0" type="noConversion"/>
  <pageMargins left="0.74791666666666667" right="0.74791666666666667" top="0.98402777777777783" bottom="0.98402777777777772" header="0.51180555555555562" footer="0.5"/>
  <pageSetup firstPageNumber="0" orientation="landscape" horizontalDpi="300" verticalDpi="300"/>
  <headerFooter alignWithMargins="0">
    <oddFooter>&amp;L&amp;"Tahoma,Regular"&amp;8 02ae-BM/PM/HDCV/FSOFT v2/0&amp;C&amp;"tahoma,Regular"&amp;8Internal use&amp;R&amp;"Tahoma,Regular"&amp;8&amp;P/&amp;N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EA2A741C5885C41AB9A358CCBEA8A85" ma:contentTypeVersion="4" ma:contentTypeDescription="Create a new document." ma:contentTypeScope="" ma:versionID="b08c537a49adf1f0264621696145d4e8">
  <xsd:schema xmlns:xsd="http://www.w3.org/2001/XMLSchema" xmlns:p="http://schemas.microsoft.com/office/2006/metadata/properties" xmlns:ns1="http://schemas.microsoft.com/sharepoint/v3" xmlns:ns2="41A7A25E-88C5-415C-AB9A-358CCBEA8A85" xmlns:ns3="cd6d2771-e08b-42a3-90f8-eca630337659" targetNamespace="http://schemas.microsoft.com/office/2006/metadata/properties" ma:root="true" ma:fieldsID="79edc66073723f43766a972d30b274e4" ns1:_="" ns2:_="" ns3:_="">
    <xsd:import namespace="http://schemas.microsoft.com/sharepoint/v3"/>
    <xsd:import namespace="41A7A25E-88C5-415C-AB9A-358CCBEA8A85"/>
    <xsd:import namespace="cd6d2771-e08b-42a3-90f8-eca630337659"/>
    <xsd:element name="properties">
      <xsd:complexType>
        <xsd:sequence>
          <xsd:element name="documentManagement">
            <xsd:complexType>
              <xsd:all>
                <xsd:element ref="ns1:_ModerationComments" minOccurs="0"/>
                <xsd:element ref="ns1:File_x0020_Type" minOccurs="0"/>
                <xsd:element ref="ns1:HTML_x0020_File_x0020_Type" minOccurs="0"/>
                <xsd:element ref="ns1:_SourceUrl" minOccurs="0"/>
                <xsd:element ref="ns1:_SharedFileIndex" minOccurs="0"/>
                <xsd:element ref="ns2:Priority" minOccurs="0"/>
                <xsd:element ref="ns1:ContentTypeId" minOccurs="0"/>
                <xsd:element ref="ns1:TemplateUrl" minOccurs="0"/>
                <xsd:element ref="ns1:xd_ProgID" minOccurs="0"/>
                <xsd:element ref="ns1:xd_Signature" minOccurs="0"/>
                <xsd:element ref="ns3:Number_x0020_Of_x0020_Viewer" minOccurs="0"/>
                <xsd:element ref="ns1:ID" minOccurs="0"/>
                <xsd:element ref="ns1:Author" minOccurs="0"/>
                <xsd:element ref="ns1:Editor" minOccurs="0"/>
                <xsd:element ref="ns1:_HasCopyDestinations" minOccurs="0"/>
                <xsd:element ref="ns1:_CopySource" minOccurs="0"/>
                <xsd:element ref="ns1:_ModerationStatus" minOccurs="0"/>
                <xsd:element ref="ns1:FileRef" minOccurs="0"/>
                <xsd:element ref="ns1:FileDirRef" minOccurs="0"/>
                <xsd:element ref="ns1:Last_x0020_Modified" minOccurs="0"/>
                <xsd:element ref="ns1:Created_x0020_Date" minOccurs="0"/>
                <xsd:element ref="ns1:File_x0020_Size" minOccurs="0"/>
                <xsd:element ref="ns1:FSObjType" minOccurs="0"/>
                <xsd:element ref="ns1:CheckedOutUserId" minOccurs="0"/>
                <xsd:element ref="ns1:IsCheckedoutToLocal" minOccurs="0"/>
                <xsd:element ref="ns1:CheckoutUser" minOccurs="0"/>
                <xsd:element ref="ns1:UniqueId" minOccurs="0"/>
                <xsd:element ref="ns1:ProgId" minOccurs="0"/>
                <xsd:element ref="ns1:ScopeId" minOccurs="0"/>
                <xsd:element ref="ns1:VirusStatus" minOccurs="0"/>
                <xsd:element ref="ns1:CheckedOutTitle" minOccurs="0"/>
                <xsd:element ref="ns1:_CheckinComment" minOccurs="0"/>
                <xsd:element ref="ns1:MetaInfo" minOccurs="0"/>
                <xsd:element ref="ns1:_Level" minOccurs="0"/>
                <xsd:element ref="ns1:_IsCurrentVersion" minOccurs="0"/>
                <xsd:element ref="ns1:owshiddenversion" minOccurs="0"/>
                <xsd:element ref="ns1:_UIVersion" minOccurs="0"/>
                <xsd:element ref="ns1:_UIVersionString" minOccurs="0"/>
                <xsd:element ref="ns1:InstanceID" minOccurs="0"/>
                <xsd:element ref="ns1:Order" minOccurs="0"/>
                <xsd:element ref="ns1:GUID" minOccurs="0"/>
                <xsd:element ref="ns1:WorkflowVersion" minOccurs="0"/>
                <xsd:element ref="ns1:WorkflowInstanceID" minOccurs="0"/>
                <xsd:element ref="ns1:ParentVersionString" minOccurs="0"/>
                <xsd:element ref="ns1:ParentLeafNam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_ModerationComments" ma:index="0" nillable="true" ma:displayName="Approver Comments" ma:hidden="true" ma:internalName="_ModerationComments" ma:readOnly="true">
      <xsd:simpleType>
        <xsd:restriction base="dms:Note"/>
      </xsd:simpleType>
    </xsd:element>
    <xsd:element name="File_x0020_Type" ma:index="4" nillable="true" ma:displayName="File Type" ma:hidden="true" ma:internalName="File_x0020_Type" ma:readOnly="true">
      <xsd:simpleType>
        <xsd:restriction base="dms:Text"/>
      </xsd:simpleType>
    </xsd:element>
    <xsd:element name="HTML_x0020_File_x0020_Type" ma:index="5" nillable="true" ma:displayName="HTML File Type" ma:hidden="true" ma:internalName="HTML_x0020_File_x0020_Type" ma:readOnly="true">
      <xsd:simpleType>
        <xsd:restriction base="dms:Text"/>
      </xsd:simpleType>
    </xsd:element>
    <xsd:element name="_SourceUrl" ma:index="6" nillable="true" ma:displayName="Source Url" ma:hidden="true" ma:internalName="_SourceUrl">
      <xsd:simpleType>
        <xsd:restriction base="dms:Text"/>
      </xsd:simpleType>
    </xsd:element>
    <xsd:element name="_SharedFileIndex" ma:index="7" nillable="true" ma:displayName="Shared File Index" ma:hidden="true" ma:internalName="_SharedFileIndex">
      <xsd:simpleType>
        <xsd:restriction base="dms:Text"/>
      </xsd:simpleType>
    </xsd:element>
    <xsd:element name="ContentTypeId" ma:index="10" nillable="true" ma:displayName="Content Type ID" ma:hidden="true" ma:internalName="ContentTypeId" ma:readOnly="true">
      <xsd:simpleType>
        <xsd:restriction base="dms:Unknown"/>
      </xsd:simpleType>
    </xsd:element>
    <xsd:element name="TemplateUrl" ma:index="11" nillable="true" ma:displayName="Template Link" ma:hidden="true" ma:internalName="TemplateUrl">
      <xsd:simpleType>
        <xsd:restriction base="dms:Text"/>
      </xsd:simpleType>
    </xsd:element>
    <xsd:element name="xd_ProgID" ma:index="12" nillable="true" ma:displayName="Html File Link" ma:hidden="true" ma:internalName="xd_ProgID">
      <xsd:simpleType>
        <xsd:restriction base="dms:Text"/>
      </xsd:simpleType>
    </xsd:element>
    <xsd:element name="xd_Signature" ma:index="13" nillable="true" ma:displayName="Is Signed" ma:hidden="true" ma:internalName="xd_Signature" ma:readOnly="true">
      <xsd:simpleType>
        <xsd:restriction base="dms:Boolean"/>
      </xsd:simpleType>
    </xsd:element>
    <xsd:element name="ID" ma:index="15" nillable="true" ma:displayName="ID" ma:internalName="ID" ma:readOnly="true">
      <xsd:simpleType>
        <xsd:restriction base="dms:Unknown"/>
      </xsd:simpleType>
    </xsd:element>
    <xsd:element name="Author" ma:index="18" nillable="true" ma:displayName="Created By" ma:list="UserInfo" ma:internalName="Author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ditor" ma:index="20" nillable="true" ma:displayName="Modified By" ma:list="UserInfo" ma:internalName="Editor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HasCopyDestinations" ma:index="21" nillable="true" ma:displayName="Has Copy Destinations" ma:hidden="true" ma:internalName="_HasCopyDestinations" ma:readOnly="true">
      <xsd:simpleType>
        <xsd:restriction base="dms:Boolean"/>
      </xsd:simpleType>
    </xsd:element>
    <xsd:element name="_CopySource" ma:index="22" nillable="true" ma:displayName="Copy Source" ma:internalName="_CopySource" ma:readOnly="true">
      <xsd:simpleType>
        <xsd:restriction base="dms:Text"/>
      </xsd:simpleType>
    </xsd:element>
    <xsd:element name="_ModerationStatus" ma:index="23" nillable="true" ma:displayName="Approval Status" ma:default="0" ma:hidden="true" ma:internalName="_ModerationStatus" ma:readOnly="true">
      <xsd:simpleType>
        <xsd:restriction base="dms:Unknown"/>
      </xsd:simpleType>
    </xsd:element>
    <xsd:element name="FileRef" ma:index="24" nillable="true" ma:displayName="URL Path" ma:hidden="true" ma:list="Docs" ma:internalName="FileRef" ma:readOnly="true" ma:showField="FullUrl">
      <xsd:simpleType>
        <xsd:restriction base="dms:Lookup"/>
      </xsd:simpleType>
    </xsd:element>
    <xsd:element name="FileDirRef" ma:index="25" nillable="true" ma:displayName="Path" ma:hidden="true" ma:list="Docs" ma:internalName="FileDirRef" ma:readOnly="true" ma:showField="DirName">
      <xsd:simpleType>
        <xsd:restriction base="dms:Lookup"/>
      </xsd:simpleType>
    </xsd:element>
    <xsd:element name="Last_x0020_Modified" ma:index="26" nillable="true" ma:displayName="Modified" ma:format="TRUE" ma:hidden="true" ma:list="Docs" ma:internalName="Last_x0020_Modified" ma:readOnly="true" ma:showField="TimeLastModified">
      <xsd:simpleType>
        <xsd:restriction base="dms:Lookup"/>
      </xsd:simpleType>
    </xsd:element>
    <xsd:element name="Created_x0020_Date" ma:index="27" nillable="true" ma:displayName="Created" ma:format="TRUE" ma:hidden="true" ma:list="Docs" ma:internalName="Created_x0020_Date" ma:readOnly="true" ma:showField="TimeCreated">
      <xsd:simpleType>
        <xsd:restriction base="dms:Lookup"/>
      </xsd:simpleType>
    </xsd:element>
    <xsd:element name="File_x0020_Size" ma:index="28" nillable="true" ma:displayName="File Size" ma:format="TRUE" ma:hidden="true" ma:list="Docs" ma:internalName="File_x0020_Size" ma:readOnly="true" ma:showField="SizeInKB">
      <xsd:simpleType>
        <xsd:restriction base="dms:Lookup"/>
      </xsd:simpleType>
    </xsd:element>
    <xsd:element name="FSObjType" ma:index="29" nillable="true" ma:displayName="Item Type" ma:hidden="true" ma:list="Docs" ma:internalName="FSObjType" ma:readOnly="true" ma:showField="FSType">
      <xsd:simpleType>
        <xsd:restriction base="dms:Lookup"/>
      </xsd:simpleType>
    </xsd:element>
    <xsd:element name="CheckedOutUserId" ma:index="31" nillable="true" ma:displayName="ID of the User who has the item Checked Out" ma:hidden="true" ma:list="Docs" ma:internalName="CheckedOutUserId" ma:readOnly="true" ma:showField="CheckoutUserId">
      <xsd:simpleType>
        <xsd:restriction base="dms:Lookup"/>
      </xsd:simpleType>
    </xsd:element>
    <xsd:element name="IsCheckedoutToLocal" ma:index="32" nillable="true" ma:displayName="Is Checked out to local" ma:hidden="true" ma:list="Docs" ma:internalName="IsCheckedoutToLocal" ma:readOnly="true" ma:showField="IsCheckoutToLocal">
      <xsd:simpleType>
        <xsd:restriction base="dms:Lookup"/>
      </xsd:simpleType>
    </xsd:element>
    <xsd:element name="CheckoutUser" ma:index="33" nillable="true" ma:displayName="Checked Out To" ma:list="UserInfo" ma:internalName="CheckoutUser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UniqueId" ma:index="34" nillable="true" ma:displayName="Unique Id" ma:hidden="true" ma:list="Docs" ma:internalName="UniqueId" ma:readOnly="true" ma:showField="UniqueId">
      <xsd:simpleType>
        <xsd:restriction base="dms:Lookup"/>
      </xsd:simpleType>
    </xsd:element>
    <xsd:element name="ProgId" ma:index="35" nillable="true" ma:displayName="ProgId" ma:hidden="true" ma:list="Docs" ma:internalName="ProgId" ma:readOnly="true" ma:showField="ProgId">
      <xsd:simpleType>
        <xsd:restriction base="dms:Lookup"/>
      </xsd:simpleType>
    </xsd:element>
    <xsd:element name="ScopeId" ma:index="36" nillable="true" ma:displayName="ScopeId" ma:hidden="true" ma:list="Docs" ma:internalName="ScopeId" ma:readOnly="true" ma:showField="ScopeId">
      <xsd:simpleType>
        <xsd:restriction base="dms:Lookup"/>
      </xsd:simpleType>
    </xsd:element>
    <xsd:element name="VirusStatus" ma:index="37" nillable="true" ma:displayName="Virus Status" ma:format="TRUE" ma:hidden="true" ma:list="Docs" ma:internalName="VirusStatus" ma:readOnly="true" ma:showField="Size">
      <xsd:simpleType>
        <xsd:restriction base="dms:Lookup"/>
      </xsd:simpleType>
    </xsd:element>
    <xsd:element name="CheckedOutTitle" ma:index="38" nillable="true" ma:displayName="Checked Out To" ma:format="TRUE" ma:hidden="true" ma:list="Docs" ma:internalName="CheckedOutTitle" ma:readOnly="true" ma:showField="CheckedOutTitle">
      <xsd:simpleType>
        <xsd:restriction base="dms:Lookup"/>
      </xsd:simpleType>
    </xsd:element>
    <xsd:element name="_CheckinComment" ma:index="39" nillable="true" ma:displayName="Check In Comment" ma:format="TRUE" ma:list="Docs" ma:internalName="_CheckinComment" ma:readOnly="true" ma:showField="CheckinComment">
      <xsd:simpleType>
        <xsd:restriction base="dms:Lookup"/>
      </xsd:simpleType>
    </xsd:element>
    <xsd:element name="MetaInfo" ma:index="50" nillable="true" ma:displayName="Property Bag" ma:hidden="true" ma:list="Docs" ma:internalName="MetaInfo" ma:showField="MetaInfo">
      <xsd:simpleType>
        <xsd:restriction base="dms:Lookup"/>
      </xsd:simpleType>
    </xsd:element>
    <xsd:element name="_Level" ma:index="51" nillable="true" ma:displayName="Level" ma:hidden="true" ma:internalName="_Level" ma:readOnly="true">
      <xsd:simpleType>
        <xsd:restriction base="dms:Unknown"/>
      </xsd:simpleType>
    </xsd:element>
    <xsd:element name="_IsCurrentVersion" ma:index="52" nillable="true" ma:displayName="Is Current Version" ma:hidden="true" ma:internalName="_IsCurrentVersion" ma:readOnly="true">
      <xsd:simpleType>
        <xsd:restriction base="dms:Boolean"/>
      </xsd:simpleType>
    </xsd:element>
    <xsd:element name="owshiddenversion" ma:index="56" nillable="true" ma:displayName="owshiddenversion" ma:hidden="true" ma:internalName="owshiddenversion" ma:readOnly="true">
      <xsd:simpleType>
        <xsd:restriction base="dms:Unknown"/>
      </xsd:simpleType>
    </xsd:element>
    <xsd:element name="_UIVersion" ma:index="57" nillable="true" ma:displayName="UI Version" ma:hidden="true" ma:internalName="_UIVersion" ma:readOnly="true">
      <xsd:simpleType>
        <xsd:restriction base="dms:Unknown"/>
      </xsd:simpleType>
    </xsd:element>
    <xsd:element name="_UIVersionString" ma:index="58" nillable="true" ma:displayName="Version" ma:internalName="_UIVersionString" ma:readOnly="true">
      <xsd:simpleType>
        <xsd:restriction base="dms:Text"/>
      </xsd:simpleType>
    </xsd:element>
    <xsd:element name="InstanceID" ma:index="59" nillable="true" ma:displayName="Instance ID" ma:hidden="true" ma:internalName="InstanceID" ma:readOnly="true">
      <xsd:simpleType>
        <xsd:restriction base="dms:Unknown"/>
      </xsd:simpleType>
    </xsd:element>
    <xsd:element name="Order" ma:index="60" nillable="true" ma:displayName="Order" ma:hidden="true" ma:internalName="Order">
      <xsd:simpleType>
        <xsd:restriction base="dms:Number"/>
      </xsd:simpleType>
    </xsd:element>
    <xsd:element name="GUID" ma:index="61" nillable="true" ma:displayName="GUID" ma:hidden="true" ma:internalName="GUID" ma:readOnly="true">
      <xsd:simpleType>
        <xsd:restriction base="dms:Unknown"/>
      </xsd:simpleType>
    </xsd:element>
    <xsd:element name="WorkflowVersion" ma:index="62" nillable="true" ma:displayName="Workflow Version" ma:hidden="true" ma:internalName="WorkflowVersion" ma:readOnly="true">
      <xsd:simpleType>
        <xsd:restriction base="dms:Unknown"/>
      </xsd:simpleType>
    </xsd:element>
    <xsd:element name="WorkflowInstanceID" ma:index="63" nillable="true" ma:displayName="Workflow Instance ID" ma:hidden="true" ma:internalName="WorkflowInstanceID" ma:readOnly="true">
      <xsd:simpleType>
        <xsd:restriction base="dms:Unknown"/>
      </xsd:simpleType>
    </xsd:element>
    <xsd:element name="ParentVersionString" ma:index="64" nillable="true" ma:displayName="Source Version (Converted Document)" ma:hidden="true" ma:list="Docs" ma:internalName="ParentVersionString" ma:readOnly="true" ma:showField="ParentVersionString">
      <xsd:simpleType>
        <xsd:restriction base="dms:Lookup"/>
      </xsd:simpleType>
    </xsd:element>
    <xsd:element name="ParentLeafName" ma:index="65" nillable="true" ma:displayName="Source Name (Converted Document)" ma:hidden="true" ma:list="Docs" ma:internalName="ParentLeafName" ma:readOnly="true" ma:showField="ParentLeafName">
      <xsd:simpleType>
        <xsd:restriction base="dms:Lookup"/>
      </xsd:simpleType>
    </xsd:element>
  </xsd:schema>
  <xsd:schema xmlns:xsd="http://www.w3.org/2001/XMLSchema" xmlns:dms="http://schemas.microsoft.com/office/2006/documentManagement/types" targetNamespace="41A7A25E-88C5-415C-AB9A-358CCBEA8A85" elementFormDefault="qualified">
    <xsd:import namespace="http://schemas.microsoft.com/office/2006/documentManagement/types"/>
    <xsd:element name="Priority" ma:index="9" nillable="true" ma:displayName="Priority" ma:internalName="Priority">
      <xsd:simpleType>
        <xsd:restriction base="dms:Number"/>
      </xsd:simpleType>
    </xsd:element>
  </xsd:schema>
  <xsd:schema xmlns:xsd="http://www.w3.org/2001/XMLSchema" xmlns:dms="http://schemas.microsoft.com/office/2006/documentManagement/types" targetNamespace="cd6d2771-e08b-42a3-90f8-eca630337659" elementFormDefault="qualified">
    <xsd:import namespace="http://schemas.microsoft.com/office/2006/documentManagement/types"/>
    <xsd:element name="Number_x0020_Of_x0020_Viewer" ma:index="14" nillable="true" ma:displayName="Number Of Viewer" ma:default="0" ma:internalName="Number_x0020_Of_x0020_Viewer">
      <xsd:simpleType>
        <xsd:restriction base="dms:Number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 ma:readOnly="true"/>
        <xsd:element ref="dc:title" minOccurs="0" maxOccurs="1" ma:index="8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FCAE63D-5380-40ED-A43E-1567E1C2037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1A7A25E-88C5-415C-AB9A-358CCBEA8A85"/>
    <ds:schemaRef ds:uri="cd6d2771-e08b-42a3-90f8-eca630337659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85ED280E-F51D-42B1-B363-4EC477D089E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Test case List</vt:lpstr>
      <vt:lpstr>Module1</vt:lpstr>
      <vt:lpstr>Module2</vt:lpstr>
      <vt:lpstr>Test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 case</dc:title>
  <dc:subject>v1/0</dc:subject>
  <dc:creator>pc</dc:creator>
  <dc:description>Updates sheet Cover: Add logo, document code, creator, reviewer/approver._x000d_
Add sheet Test Case List._x000d_
Change Sheet Company, User, Provider to Modules. Add column Inter-test case dependent. Update these sheets._x000d_
Update Test Report</dc:description>
  <cp:lastModifiedBy>ACER</cp:lastModifiedBy>
  <cp:lastPrinted>2025-12-18T15:01:16Z</cp:lastPrinted>
  <dcterms:created xsi:type="dcterms:W3CDTF">2011-06-02T09:10:50Z</dcterms:created>
  <dcterms:modified xsi:type="dcterms:W3CDTF">2025-12-18T15:48:59Z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teUrl">
    <vt:lpwstr/>
  </property>
  <property fmtid="{D5CDD505-2E9C-101B-9397-08002B2CF9AE}" pid="3" name="Number Of Viewer">
    <vt:lpwstr>0</vt:lpwstr>
  </property>
  <property fmtid="{D5CDD505-2E9C-101B-9397-08002B2CF9AE}" pid="4" name="_SourceUrl">
    <vt:lpwstr/>
  </property>
  <property fmtid="{D5CDD505-2E9C-101B-9397-08002B2CF9AE}" pid="5" name="Priority">
    <vt:lpwstr/>
  </property>
  <property fmtid="{D5CDD505-2E9C-101B-9397-08002B2CF9AE}" pid="6" name="xd_ProgID">
    <vt:lpwstr/>
  </property>
  <property fmtid="{D5CDD505-2E9C-101B-9397-08002B2CF9AE}" pid="7" name="Order">
    <vt:lpwstr/>
  </property>
  <property fmtid="{D5CDD505-2E9C-101B-9397-08002B2CF9AE}" pid="8" name="MetaInfo">
    <vt:lpwstr/>
  </property>
  <property fmtid="{D5CDD505-2E9C-101B-9397-08002B2CF9AE}" pid="9" name="_SharedFileIndex">
    <vt:lpwstr/>
  </property>
</Properties>
</file>