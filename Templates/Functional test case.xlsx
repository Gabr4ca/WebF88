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c6\12.12\đang làm\Templates\"/>
    </mc:Choice>
  </mc:AlternateContent>
  <bookViews>
    <workbookView xWindow="0" yWindow="0" windowWidth="20490" windowHeight="7635" tabRatio="748" activeTab="2"/>
  </bookViews>
  <sheets>
    <sheet name="Cover" sheetId="19" r:id="rId1"/>
    <sheet name="Test case List" sheetId="20" r:id="rId2"/>
    <sheet name="Authentication" sheetId="3" r:id="rId3"/>
    <sheet name="Product" sheetId="14" r:id="rId4"/>
    <sheet name="Cart" sheetId="10" r:id="rId5"/>
    <sheet name="Order &amp; Payment" sheetId="12" r:id="rId6"/>
    <sheet name="Test Report" sheetId="18" r:id="rId7"/>
  </sheets>
  <externalReferences>
    <externalReference r:id="rId8"/>
  </externalReferences>
  <definedNames>
    <definedName name="_xlnm._FilterDatabase" localSheetId="2" hidden="1">Authentication!$A$6:$E$13</definedName>
    <definedName name="_xlnm._FilterDatabase" localSheetId="4" hidden="1">Cart!$A$6:$E$10</definedName>
    <definedName name="_xlnm._FilterDatabase" localSheetId="5" hidden="1">'Order &amp; Payment'!$A$6:$E$7</definedName>
    <definedName name="_xlnm._FilterDatabase" localSheetId="3" hidden="1">Product!$A$6:$E$9</definedName>
    <definedName name="ACTION" localSheetId="0">#REF!</definedName>
    <definedName name="ACTION">#REF!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0" l="1"/>
  <c r="D3" i="20"/>
  <c r="H14" i="18"/>
  <c r="G14" i="18"/>
  <c r="F14" i="18"/>
  <c r="F15" i="18" s="1"/>
  <c r="E14" i="18"/>
  <c r="D14" i="18"/>
  <c r="H13" i="18"/>
  <c r="C6" i="19"/>
  <c r="E13" i="18"/>
  <c r="E15" i="18" s="1"/>
  <c r="F13" i="18"/>
  <c r="G13" i="18"/>
  <c r="D13" i="18"/>
  <c r="H12" i="18"/>
  <c r="E12" i="18"/>
  <c r="F12" i="18"/>
  <c r="G12" i="18"/>
  <c r="G15" i="18" s="1"/>
  <c r="D12" i="18"/>
  <c r="F11" i="18"/>
  <c r="G11" i="18"/>
  <c r="E11" i="18"/>
  <c r="H11" i="18"/>
  <c r="D11" i="18"/>
  <c r="C14" i="18"/>
  <c r="C13" i="18"/>
  <c r="C12" i="18"/>
  <c r="C11" i="18"/>
  <c r="C5" i="18"/>
  <c r="E4" i="14"/>
  <c r="E4" i="12"/>
  <c r="B4" i="12"/>
  <c r="E4" i="3"/>
  <c r="C4" i="3"/>
  <c r="A4" i="3"/>
  <c r="D15" i="18" l="1"/>
  <c r="H15" i="18"/>
  <c r="E17" i="18" s="1"/>
  <c r="D4" i="14"/>
  <c r="B4" i="14"/>
  <c r="A4" i="14"/>
  <c r="D4" i="12"/>
  <c r="A4" i="12"/>
  <c r="D4" i="10"/>
  <c r="B4" i="10"/>
  <c r="A4" i="10"/>
  <c r="B4" i="3"/>
  <c r="D4" i="3"/>
  <c r="E18" i="18" l="1"/>
  <c r="C4" i="10"/>
</calcChain>
</file>

<file path=xl/comments1.xml><?xml version="1.0" encoding="utf-8"?>
<comments xmlns="http://schemas.openxmlformats.org/spreadsheetml/2006/main">
  <authors>
    <author/>
  </authors>
  <commentList>
    <comment ref="E11" authorId="0" shapeId="0">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sharedStrings.xml><?xml version="1.0" encoding="utf-8"?>
<sst xmlns="http://schemas.openxmlformats.org/spreadsheetml/2006/main" count="339" uniqueCount="230">
  <si>
    <t>Module Code</t>
  </si>
  <si>
    <t>Pass</t>
  </si>
  <si>
    <t>Fail</t>
  </si>
  <si>
    <t>Untested</t>
  </si>
  <si>
    <t>N/A</t>
  </si>
  <si>
    <t>Number of Test cases</t>
  </si>
  <si>
    <t>Untesed</t>
  </si>
  <si>
    <t>ID</t>
  </si>
  <si>
    <t>Test Case Description</t>
  </si>
  <si>
    <t>Test Case Procedure</t>
  </si>
  <si>
    <t>Expected Output</t>
  </si>
  <si>
    <t>Result</t>
  </si>
  <si>
    <t>TC_LOGIN_01</t>
  </si>
  <si>
    <t>Logout successfully from the system</t>
  </si>
  <si>
    <t>User is logged out and redirected to login page</t>
  </si>
  <si>
    <t>User logs in successfully and is redirected to customer dashboard</t>
  </si>
  <si>
    <t>TC_LOGIN_02</t>
  </si>
  <si>
    <t>TC_LOGIN_03</t>
  </si>
  <si>
    <t>Verify system redirects user to correct page after login</t>
  </si>
  <si>
    <t>1. Login with valid credentials</t>
  </si>
  <si>
    <t>User is redirected to correct page based on role</t>
  </si>
  <si>
    <t>TC_LOGIN_04</t>
  </si>
  <si>
    <t>Login fails and error message is displayed</t>
  </si>
  <si>
    <t>TC_LOGIN_05</t>
  </si>
  <si>
    <t>Verify error message is displayed when login fails</t>
  </si>
  <si>
    <t>1. Login with invalid credentials</t>
  </si>
  <si>
    <t>Appropriate error message is displayed</t>
  </si>
  <si>
    <t>TC_LOGIN_06</t>
  </si>
  <si>
    <t>Validation message is displayed</t>
  </si>
  <si>
    <t>TC_LOGIN_07</t>
  </si>
  <si>
    <t>Verify password characters are masked during input</t>
  </si>
  <si>
    <t>Password characters are displayed as dots or asterisks</t>
  </si>
  <si>
    <t>TC_LOGIN_08</t>
  </si>
  <si>
    <t>Verify password is not displayed in plain text after typing</t>
  </si>
  <si>
    <t>1. Enter password in password field</t>
  </si>
  <si>
    <t>Password is hidden and not readable</t>
  </si>
  <si>
    <t>TC_LOGOUT_01</t>
  </si>
  <si>
    <t>TC_LOGOUT_02</t>
  </si>
  <si>
    <t>Verify session/token is cleared after logout</t>
  </si>
  <si>
    <t>Session/token is cleared</t>
  </si>
  <si>
    <t>TC_LOGOUT_03</t>
  </si>
  <si>
    <t>Verify user cannot access protected pages after logout</t>
  </si>
  <si>
    <t>User is redirected to login page</t>
  </si>
  <si>
    <t>1. Open Login page
2. Enter password -&gt; Click Login</t>
  </si>
  <si>
    <t>Login with valid customer email and valid password</t>
  </si>
  <si>
    <t>1. Open Login page
2. Enter valid customer email
3. Enter valid password
4. Click Login</t>
  </si>
  <si>
    <t>Login with valid admin email and valid password</t>
  </si>
  <si>
    <t>1. Open Login page
2. Enter valid admin email
3. Enter valid password
4. Click Login</t>
  </si>
  <si>
    <t>Login with invalid email and invalid password</t>
  </si>
  <si>
    <t>1. Open Login page
2. Enter invalid email
3. Enter invalid password
4. Click Login</t>
  </si>
  <si>
    <t>Login with empty email or password field</t>
  </si>
  <si>
    <t>1. Open Login page
2. Leave email or password empty
3. Click Login</t>
  </si>
  <si>
    <t>1. Open Login page
2. Enter valid email password
3. Click Login
4. Click Logout</t>
  </si>
  <si>
    <t>TC_ADD_01</t>
  </si>
  <si>
    <t>1. Press the plus icon at the bottom right of the desired food(s)</t>
  </si>
  <si>
    <t>Food(s) successfully added to the user's cart</t>
  </si>
  <si>
    <t>TC_RM_02</t>
  </si>
  <si>
    <t>User add food(s) into cart</t>
  </si>
  <si>
    <t>User remove food from the menu page</t>
  </si>
  <si>
    <t>1. Press the minus icon at the bottom right of the desired food(s)</t>
  </si>
  <si>
    <t>Food(s) successfully removed to the user's cart</t>
  </si>
  <si>
    <t>TC_RM_01</t>
  </si>
  <si>
    <t>User remove food from the cart</t>
  </si>
  <si>
    <t>1. Navigate to the top of the site
2. Click the cart icon
3. Press the X symbol</t>
  </si>
  <si>
    <t>TC_PM_01</t>
  </si>
  <si>
    <t>User proceed to payment page</t>
  </si>
  <si>
    <t>1. Navigate to the top of the site
2. Click the cart icon
3. Click Proceed to Checkout</t>
  </si>
  <si>
    <t>User will be redirected to the payment page</t>
  </si>
  <si>
    <t>Cart</t>
  </si>
  <si>
    <t>TC_CHK_01</t>
  </si>
  <si>
    <t>User proceeds to payment page with all valid delivery info</t>
  </si>
  <si>
    <t>User is redirected to the Payment page. Delivery info and cart totals are carried over correctly.</t>
  </si>
  <si>
    <t>TC_CHK_02</t>
  </si>
  <si>
    <t>Required field First name is empty</t>
  </si>
  <si>
    <t>TC_CHK_03</t>
  </si>
  <si>
    <t>Invalid email format</t>
  </si>
  <si>
    <t>TC_CHK_04</t>
  </si>
  <si>
    <t>Phone number contains non‑numeric characters / invalid length</t>
  </si>
  <si>
    <t>TC_CHK_05</t>
  </si>
  <si>
    <t>Zip Code invalid (non‑numeric or wrong length)</t>
  </si>
  <si>
    <t>Validation error shown for Zip Code. User is not redirected to the Payment page.</t>
  </si>
  <si>
    <t>TC_CHK_06</t>
  </si>
  <si>
    <t>Cart Totals are calculated and displayed correctly</t>
  </si>
  <si>
    <r>
      <t xml:space="preserve">1. Open the Checkout page.
2. Leave </t>
    </r>
    <r>
      <rPr>
        <b/>
        <sz val="11"/>
        <rFont val="Arial"/>
        <family val="2"/>
      </rPr>
      <t>First name</t>
    </r>
    <r>
      <rPr>
        <sz val="11"/>
        <rFont val="Arial"/>
        <family val="2"/>
      </rPr>
      <t xml:space="preserve"> empty.
3. Fill all other fields with valid data.
4. Click </t>
    </r>
    <r>
      <rPr>
        <b/>
        <sz val="11"/>
        <rFont val="Arial"/>
        <family val="2"/>
      </rPr>
      <t>PROCEED TO PAYMENT</t>
    </r>
    <r>
      <rPr>
        <sz val="11"/>
        <rFont val="Arial"/>
        <family val="2"/>
      </rPr>
      <t>.</t>
    </r>
  </si>
  <si>
    <r>
      <t xml:space="preserve">1. Open the Checkout page.
2. Enter an invalid email in </t>
    </r>
    <r>
      <rPr>
        <b/>
        <sz val="11"/>
        <rFont val="Arial"/>
        <family val="2"/>
      </rPr>
      <t>Email Address</t>
    </r>
    <r>
      <rPr>
        <sz val="11"/>
        <rFont val="Arial"/>
        <family val="2"/>
      </rPr>
      <t xml:space="preserve">
3. Fill all other fields with valid data.
4. Click </t>
    </r>
    <r>
      <rPr>
        <b/>
        <sz val="11"/>
        <rFont val="Arial"/>
        <family val="2"/>
      </rPr>
      <t>PROCEED TO PAYMENT</t>
    </r>
    <r>
      <rPr>
        <sz val="11"/>
        <rFont val="Arial"/>
        <family val="2"/>
      </rPr>
      <t>.</t>
    </r>
  </si>
  <si>
    <t>Validation error shown for Email Address. User is not redirected.</t>
  </si>
  <si>
    <r>
      <t xml:space="preserve">1. Open the Checkout page.
2. Enter invalid value in </t>
    </r>
    <r>
      <rPr>
        <b/>
        <sz val="11"/>
        <rFont val="Arial"/>
        <family val="2"/>
      </rPr>
      <t>Zip Code</t>
    </r>
    <r>
      <rPr>
        <sz val="11"/>
        <rFont val="Arial"/>
        <family val="2"/>
      </rPr>
      <t xml:space="preserve"> 
3. Fill other fields with valid data.
4. Click </t>
    </r>
    <r>
      <rPr>
        <b/>
        <sz val="11"/>
        <rFont val="Arial"/>
        <family val="2"/>
      </rPr>
      <t>PROCEED TO PAYMENT</t>
    </r>
    <r>
      <rPr>
        <sz val="11"/>
        <rFont val="Arial"/>
        <family val="2"/>
      </rPr>
      <t>.</t>
    </r>
  </si>
  <si>
    <r>
      <t xml:space="preserve">1. Open the Checkout page.
2. Enter invalid phone.
3. Fill other fields with valid data.
4. Click </t>
    </r>
    <r>
      <rPr>
        <b/>
        <sz val="11"/>
        <rFont val="Arial"/>
        <family val="2"/>
      </rPr>
      <t>PROCEED TO PAYMENT</t>
    </r>
    <r>
      <rPr>
        <sz val="11"/>
        <rFont val="Arial"/>
        <family val="2"/>
      </rPr>
      <t>.</t>
    </r>
  </si>
  <si>
    <r>
      <t xml:space="preserve">1. The price is calculated
2. Go to Checkout page.
3. Observe </t>
    </r>
    <r>
      <rPr>
        <b/>
        <sz val="11"/>
        <rFont val="Arial"/>
        <family val="2"/>
      </rPr>
      <t>Subtotals</t>
    </r>
    <r>
      <rPr>
        <sz val="11"/>
        <rFont val="Arial"/>
        <family val="2"/>
      </rPr>
      <t xml:space="preserve">, </t>
    </r>
    <r>
      <rPr>
        <b/>
        <sz val="11"/>
        <rFont val="Arial"/>
        <family val="2"/>
      </rPr>
      <t>Delivery Fee</t>
    </r>
    <r>
      <rPr>
        <sz val="11"/>
        <rFont val="Arial"/>
        <family val="2"/>
      </rPr>
      <t xml:space="preserve">, </t>
    </r>
    <r>
      <rPr>
        <b/>
        <sz val="11"/>
        <rFont val="Arial"/>
        <family val="2"/>
      </rPr>
      <t>Total</t>
    </r>
    <r>
      <rPr>
        <sz val="11"/>
        <rFont val="Arial"/>
        <family val="2"/>
      </rPr>
      <t xml:space="preserve"> values.</t>
    </r>
  </si>
  <si>
    <t>Show the total price</t>
  </si>
  <si>
    <t>Validation message is shown for First name. User stays on Checkout page.</t>
  </si>
  <si>
    <r>
      <t xml:space="preserve">1. Open the Checkout page.
2. Enter valid values into all fields: First name, Last name, Email Address, Street, City, State, Zip Code, Country, Phone.
3. Click </t>
    </r>
    <r>
      <rPr>
        <b/>
        <sz val="11"/>
        <rFont val="Arial"/>
        <family val="2"/>
      </rPr>
      <t>PROCEED TO PAYMENT</t>
    </r>
    <r>
      <rPr>
        <sz val="11"/>
        <rFont val="Arial"/>
        <family val="2"/>
      </rPr>
      <t>.</t>
    </r>
  </si>
  <si>
    <t>Validation error shown for Phone. 
User is not redirected.</t>
  </si>
  <si>
    <t>TC_STRIPE_01</t>
  </si>
  <si>
    <t>User pays order successfully via Stripe (test mode)</t>
  </si>
  <si>
    <t>1. From the site, click Proceed to payment to open the Stripe payment page.
2. On Stripe page, keep currency as $20.00 (USD).
3. In Email, enter a valid email.
4. In Card information, enter a valid card number.
5. Enter valid MM/YY and CVC.
6. In Cardholder name, User enter their name.
7. Keep Country or region as the default.
8. (Optional) Leave “Save my information…” unchecked.
9. Click Pay.</t>
  </si>
  <si>
    <t>1. Stripe processes the payment and shows a successful payment confirmation.
2. Browser is redirected back to the website’s payment success page.
3. On the site, the order status is updated to Food Processing.
4. No double charge is created for a single click on “Pay”.</t>
  </si>
  <si>
    <t>TC_STRIPE_02</t>
  </si>
  <si>
    <t>Stripe payment with invalid card number (decline)</t>
  </si>
  <si>
    <r>
      <t xml:space="preserve">1. Open Stripe payment page from your site.
2. Keep currency as $20.00.
3. Enter valid email.
4. In </t>
    </r>
    <r>
      <rPr>
        <b/>
        <sz val="11"/>
        <rFont val="Arial"/>
        <family val="2"/>
      </rPr>
      <t>Card information</t>
    </r>
    <r>
      <rPr>
        <sz val="11"/>
        <rFont val="Arial"/>
        <family val="2"/>
      </rPr>
      <t xml:space="preserve">, enter an invalid/declined card number.
5. Fill expiry, CVC, name, country.
6. Click </t>
    </r>
    <r>
      <rPr>
        <b/>
        <sz val="11"/>
        <rFont val="Arial"/>
        <family val="2"/>
      </rPr>
      <t>Pay</t>
    </r>
    <r>
      <rPr>
        <sz val="11"/>
        <rFont val="Arial"/>
        <family val="2"/>
      </rPr>
      <t>.</t>
    </r>
  </si>
  <si>
    <t xml:space="preserve">1. Stripe shows an error message that the card was declined.
2. User stays on the Stripe payment page, not redirected to success page.
</t>
  </si>
  <si>
    <t>TC_ORD_01</t>
  </si>
  <si>
    <t>Any existing order in the list</t>
  </si>
  <si>
    <t>1. Navigate to the Orders page.
2. Identify any order in the list.
3. Click the Track Order button on that order.</t>
  </si>
  <si>
    <r>
      <t xml:space="preserve">User clicks </t>
    </r>
    <r>
      <rPr>
        <b/>
        <sz val="11"/>
        <rFont val="Arial"/>
        <family val="2"/>
      </rPr>
      <t>Track Order</t>
    </r>
    <r>
      <rPr>
        <sz val="11"/>
        <rFont val="Arial"/>
        <family val="2"/>
      </rPr>
      <t xml:space="preserve"> button to view order tracking</t>
    </r>
  </si>
  <si>
    <t>TC_ADP_01</t>
  </si>
  <si>
    <t>Admin adds a new product with valid information</t>
  </si>
  <si>
    <t>TC_ADP_02</t>
  </si>
  <si>
    <t>Add product with empty Product name</t>
  </si>
  <si>
    <t>TC_ADP_03</t>
  </si>
  <si>
    <t>Add product with invalid price (0 or negative value)</t>
  </si>
  <si>
    <t>TC_ADP_04</t>
  </si>
  <si>
    <t>TC_ADP_05</t>
  </si>
  <si>
    <t>Upload invalid file type as product image</t>
  </si>
  <si>
    <r>
      <t xml:space="preserve">1. Navigate to the </t>
    </r>
    <r>
      <rPr>
        <b/>
        <sz val="11"/>
        <rFont val="Arial"/>
        <family val="2"/>
      </rPr>
      <t>Add Items</t>
    </r>
    <r>
      <rPr>
        <sz val="11"/>
        <rFont val="Arial"/>
        <family val="2"/>
      </rPr>
      <t xml:space="preserve"> page.
2. Click </t>
    </r>
    <r>
      <rPr>
        <b/>
        <sz val="11"/>
        <rFont val="Arial"/>
        <family val="2"/>
      </rPr>
      <t>Upload</t>
    </r>
    <r>
      <rPr>
        <sz val="11"/>
        <rFont val="Arial"/>
        <family val="2"/>
      </rPr>
      <t xml:space="preserve"> and choose a valid image file.
3. Enter a unique value into </t>
    </r>
    <r>
      <rPr>
        <b/>
        <sz val="11"/>
        <rFont val="Arial"/>
        <family val="2"/>
      </rPr>
      <t>Product name</t>
    </r>
    <r>
      <rPr>
        <sz val="11"/>
        <rFont val="Arial"/>
        <family val="2"/>
      </rPr>
      <t xml:space="preserve">.
4. Enter text into </t>
    </r>
    <r>
      <rPr>
        <b/>
        <sz val="11"/>
        <rFont val="Arial"/>
        <family val="2"/>
      </rPr>
      <t>Product description</t>
    </r>
    <r>
      <rPr>
        <sz val="11"/>
        <rFont val="Arial"/>
        <family val="2"/>
      </rPr>
      <t xml:space="preserve">.
5. Select a value from </t>
    </r>
    <r>
      <rPr>
        <b/>
        <sz val="11"/>
        <rFont val="Arial"/>
        <family val="2"/>
      </rPr>
      <t>Product category</t>
    </r>
    <r>
      <rPr>
        <sz val="11"/>
        <rFont val="Arial"/>
        <family val="2"/>
      </rPr>
      <t xml:space="preserve"> dropdown.
6. Enter a positive number into </t>
    </r>
    <r>
      <rPr>
        <b/>
        <sz val="11"/>
        <rFont val="Arial"/>
        <family val="2"/>
      </rPr>
      <t>Product price</t>
    </r>
    <r>
      <rPr>
        <sz val="11"/>
        <rFont val="Arial"/>
        <family val="2"/>
      </rPr>
      <t xml:space="preserve">.
6. Click the </t>
    </r>
    <r>
      <rPr>
        <b/>
        <sz val="11"/>
        <rFont val="Arial"/>
        <family val="2"/>
      </rPr>
      <t>ADD</t>
    </r>
    <r>
      <rPr>
        <sz val="11"/>
        <rFont val="Arial"/>
        <family val="2"/>
      </rPr>
      <t xml:space="preserve"> button.</t>
    </r>
  </si>
  <si>
    <t>Product is created successfully. A success message is displayed, and the new product appears in the product list with correct name, description, category, price, and image.</t>
  </si>
  <si>
    <r>
      <t xml:space="preserve">1. (Optional) Upload a valid image.
2. Leave </t>
    </r>
    <r>
      <rPr>
        <b/>
        <sz val="11"/>
        <rFont val="Arial"/>
        <family val="2"/>
      </rPr>
      <t>Product name</t>
    </r>
    <r>
      <rPr>
        <sz val="11"/>
        <rFont val="Arial"/>
        <family val="2"/>
      </rPr>
      <t xml:space="preserve"> empty.
3. Enter valid </t>
    </r>
    <r>
      <rPr>
        <b/>
        <sz val="11"/>
        <rFont val="Arial"/>
        <family val="2"/>
      </rPr>
      <t>Product description</t>
    </r>
    <r>
      <rPr>
        <sz val="11"/>
        <rFont val="Arial"/>
        <family val="2"/>
      </rPr>
      <t xml:space="preserve">.
4. Select a valid </t>
    </r>
    <r>
      <rPr>
        <b/>
        <sz val="11"/>
        <rFont val="Arial"/>
        <family val="2"/>
      </rPr>
      <t>Product category</t>
    </r>
    <r>
      <rPr>
        <sz val="11"/>
        <rFont val="Arial"/>
        <family val="2"/>
      </rPr>
      <t xml:space="preserve">.
5. Enter a valid positive </t>
    </r>
    <r>
      <rPr>
        <b/>
        <sz val="11"/>
        <rFont val="Arial"/>
        <family val="2"/>
      </rPr>
      <t>Product price</t>
    </r>
    <r>
      <rPr>
        <sz val="11"/>
        <rFont val="Arial"/>
        <family val="2"/>
      </rPr>
      <t xml:space="preserve">.
6. Click </t>
    </r>
    <r>
      <rPr>
        <b/>
        <sz val="11"/>
        <rFont val="Arial"/>
        <family val="2"/>
      </rPr>
      <t>ADD</t>
    </r>
    <r>
      <rPr>
        <sz val="11"/>
        <rFont val="Arial"/>
        <family val="2"/>
      </rPr>
      <t>.</t>
    </r>
  </si>
  <si>
    <r>
      <t xml:space="preserve">1. (Optional) Upload a valid image.
2. Enter a valid </t>
    </r>
    <r>
      <rPr>
        <b/>
        <sz val="11"/>
        <rFont val="Arial"/>
        <family val="2"/>
      </rPr>
      <t>Product name</t>
    </r>
    <r>
      <rPr>
        <sz val="11"/>
        <rFont val="Arial"/>
        <family val="2"/>
      </rPr>
      <t xml:space="preserve">.
3. Enter valid </t>
    </r>
    <r>
      <rPr>
        <b/>
        <sz val="11"/>
        <rFont val="Arial"/>
        <family val="2"/>
      </rPr>
      <t>Product description</t>
    </r>
    <r>
      <rPr>
        <sz val="11"/>
        <rFont val="Arial"/>
        <family val="2"/>
      </rPr>
      <t xml:space="preserve">.
4. Select a valid </t>
    </r>
    <r>
      <rPr>
        <b/>
        <sz val="11"/>
        <rFont val="Arial"/>
        <family val="2"/>
      </rPr>
      <t>Product category</t>
    </r>
    <r>
      <rPr>
        <sz val="11"/>
        <rFont val="Arial"/>
        <family val="2"/>
      </rPr>
      <t xml:space="preserve">.
5. In </t>
    </r>
    <r>
      <rPr>
        <b/>
        <sz val="11"/>
        <rFont val="Arial"/>
        <family val="2"/>
      </rPr>
      <t>Product price</t>
    </r>
    <r>
      <rPr>
        <sz val="11"/>
        <rFont val="Arial"/>
        <family val="2"/>
      </rPr>
      <t xml:space="preserve">, enter </t>
    </r>
    <r>
      <rPr>
        <sz val="10"/>
        <rFont val="Arial"/>
        <family val="2"/>
      </rPr>
      <t>0</t>
    </r>
    <r>
      <rPr>
        <sz val="11"/>
        <rFont val="Arial"/>
        <family val="2"/>
      </rPr>
      <t xml:space="preserve"> (or a negative value such as </t>
    </r>
    <r>
      <rPr>
        <sz val="10"/>
        <rFont val="Arial"/>
        <family val="2"/>
      </rPr>
      <t>-5</t>
    </r>
    <r>
      <rPr>
        <sz val="11"/>
        <rFont val="Arial"/>
        <family val="2"/>
      </rPr>
      <t xml:space="preserve">).
6. Click </t>
    </r>
    <r>
      <rPr>
        <b/>
        <sz val="11"/>
        <rFont val="Arial"/>
        <family val="2"/>
      </rPr>
      <t>ADD</t>
    </r>
    <r>
      <rPr>
        <sz val="11"/>
        <rFont val="Arial"/>
        <family val="2"/>
      </rPr>
      <t>.</t>
    </r>
  </si>
  <si>
    <r>
      <t xml:space="preserve">1. (Optional) Upload a valid image.
2. Enter a valid </t>
    </r>
    <r>
      <rPr>
        <b/>
        <sz val="11"/>
        <rFont val="Arial"/>
        <family val="2"/>
      </rPr>
      <t>Product name</t>
    </r>
    <r>
      <rPr>
        <sz val="11"/>
        <rFont val="Arial"/>
        <family val="2"/>
      </rPr>
      <t xml:space="preserve">.
3. Leave </t>
    </r>
    <r>
      <rPr>
        <b/>
        <sz val="11"/>
        <rFont val="Arial"/>
        <family val="2"/>
      </rPr>
      <t>Product description</t>
    </r>
    <r>
      <rPr>
        <sz val="11"/>
        <rFont val="Arial"/>
        <family val="2"/>
      </rPr>
      <t xml:space="preserve"> empty.
4. Select a valid </t>
    </r>
    <r>
      <rPr>
        <b/>
        <sz val="11"/>
        <rFont val="Arial"/>
        <family val="2"/>
      </rPr>
      <t>Product category</t>
    </r>
    <r>
      <rPr>
        <sz val="11"/>
        <rFont val="Arial"/>
        <family val="2"/>
      </rPr>
      <t xml:space="preserve">.
5. Enter a valid positive </t>
    </r>
    <r>
      <rPr>
        <b/>
        <sz val="11"/>
        <rFont val="Arial"/>
        <family val="2"/>
      </rPr>
      <t>Product price</t>
    </r>
    <r>
      <rPr>
        <sz val="11"/>
        <rFont val="Arial"/>
        <family val="2"/>
      </rPr>
      <t xml:space="preserve">.
6. Click </t>
    </r>
    <r>
      <rPr>
        <b/>
        <sz val="11"/>
        <rFont val="Arial"/>
        <family val="2"/>
      </rPr>
      <t>ADD</t>
    </r>
    <r>
      <rPr>
        <sz val="11"/>
        <rFont val="Arial"/>
        <family val="2"/>
      </rPr>
      <t>.</t>
    </r>
  </si>
  <si>
    <t>Add product with empty description</t>
  </si>
  <si>
    <t>System does not create the product. A validation error is shown for Product description.</t>
  </si>
  <si>
    <r>
      <t xml:space="preserve">1. Click </t>
    </r>
    <r>
      <rPr>
        <b/>
        <sz val="11"/>
        <rFont val="Arial"/>
        <family val="2"/>
      </rPr>
      <t>Upload</t>
    </r>
    <r>
      <rPr>
        <sz val="11"/>
        <rFont val="Arial"/>
        <family val="2"/>
      </rPr>
      <t xml:space="preserve"> and select a non‑image file (e.g. </t>
    </r>
    <r>
      <rPr>
        <sz val="10"/>
        <rFont val="Arial"/>
        <family val="2"/>
      </rPr>
      <t>.txt</t>
    </r>
    <r>
      <rPr>
        <sz val="11"/>
        <rFont val="Arial"/>
        <family val="2"/>
      </rPr>
      <t xml:space="preserve">, </t>
    </r>
    <r>
      <rPr>
        <sz val="10"/>
        <rFont val="Arial"/>
        <family val="2"/>
      </rPr>
      <t>.exe</t>
    </r>
    <r>
      <rPr>
        <sz val="11"/>
        <rFont val="Arial"/>
        <family val="2"/>
      </rPr>
      <t xml:space="preserve">).
2. Fill </t>
    </r>
    <r>
      <rPr>
        <b/>
        <sz val="11"/>
        <rFont val="Arial"/>
        <family val="2"/>
      </rPr>
      <t>Product name</t>
    </r>
    <r>
      <rPr>
        <sz val="11"/>
        <rFont val="Arial"/>
        <family val="2"/>
      </rPr>
      <t xml:space="preserve">, </t>
    </r>
    <r>
      <rPr>
        <b/>
        <sz val="11"/>
        <rFont val="Arial"/>
        <family val="2"/>
      </rPr>
      <t>Product description</t>
    </r>
    <r>
      <rPr>
        <sz val="11"/>
        <rFont val="Arial"/>
        <family val="2"/>
      </rPr>
      <t xml:space="preserve">, </t>
    </r>
    <r>
      <rPr>
        <b/>
        <sz val="11"/>
        <rFont val="Arial"/>
        <family val="2"/>
      </rPr>
      <t>Product category</t>
    </r>
    <r>
      <rPr>
        <sz val="11"/>
        <rFont val="Arial"/>
        <family val="2"/>
      </rPr>
      <t xml:space="preserve">, and </t>
    </r>
    <r>
      <rPr>
        <b/>
        <sz val="11"/>
        <rFont val="Arial"/>
        <family val="2"/>
      </rPr>
      <t>Product price</t>
    </r>
    <r>
      <rPr>
        <sz val="11"/>
        <rFont val="Arial"/>
        <family val="2"/>
      </rPr>
      <t xml:space="preserve"> with valid values.
3. Click </t>
    </r>
    <r>
      <rPr>
        <b/>
        <sz val="11"/>
        <rFont val="Arial"/>
        <family val="2"/>
      </rPr>
      <t>ADD</t>
    </r>
    <r>
      <rPr>
        <sz val="11"/>
        <rFont val="Arial"/>
        <family val="2"/>
      </rPr>
      <t>.</t>
    </r>
  </si>
  <si>
    <t>System rejects the uploaded file type and shows an error. Product is not created until a valid image is uploaded.</t>
  </si>
  <si>
    <t>System does not create the product. A validation error is shown for Product price, and the user remains on the Add Product page.</t>
  </si>
  <si>
    <t>System does not create the product. A validation error is shown for Product name, and the user remains on the Add Product page.</t>
  </si>
  <si>
    <t>TC_LST_01</t>
  </si>
  <si>
    <t>Admin hides a currently visible food item</t>
  </si>
  <si>
    <t>TC_LST_02</t>
  </si>
  <si>
    <t>Admin shows a currently hidden food item</t>
  </si>
  <si>
    <t>TC_LST_03</t>
  </si>
  <si>
    <t>Newly added product appears in All Food List correctly</t>
  </si>
  <si>
    <r>
      <t xml:space="preserve">On the admin List Items page: the clicked row changes state – the </t>
    </r>
    <r>
      <rPr>
        <b/>
        <sz val="11"/>
        <rFont val="Arial"/>
        <family val="2"/>
      </rPr>
      <t>Action</t>
    </r>
    <r>
      <rPr>
        <sz val="11"/>
        <rFont val="Arial"/>
        <family val="2"/>
      </rPr>
      <t xml:space="preserve"> button text changes from </t>
    </r>
    <r>
      <rPr>
        <b/>
        <sz val="11"/>
        <rFont val="Arial"/>
        <family val="2"/>
      </rPr>
      <t>Hide</t>
    </r>
    <r>
      <rPr>
        <sz val="11"/>
        <rFont val="Arial"/>
        <family val="2"/>
      </rPr>
      <t xml:space="preserve"> to </t>
    </r>
    <r>
      <rPr>
        <b/>
        <sz val="11"/>
        <rFont val="Arial"/>
        <family val="2"/>
      </rPr>
      <t>Show</t>
    </r>
    <r>
      <rPr>
        <sz val="11"/>
        <rFont val="Arial"/>
        <family val="2"/>
      </rPr>
      <t xml:space="preserve"> and the item appears “disabled/greyed” (if implemented). On the customer Menu page: that product is </t>
    </r>
    <r>
      <rPr>
        <b/>
        <sz val="11"/>
        <rFont val="Arial"/>
        <family val="2"/>
      </rPr>
      <t>no longer visible</t>
    </r>
    <r>
      <rPr>
        <sz val="11"/>
        <rFont val="Arial"/>
        <family val="2"/>
      </rPr>
      <t xml:space="preserve"> to customers.</t>
    </r>
  </si>
  <si>
    <r>
      <t xml:space="preserve">On the admin List Items page: the clicked row changes state – the </t>
    </r>
    <r>
      <rPr>
        <b/>
        <sz val="11"/>
        <rFont val="Arial"/>
        <family val="2"/>
      </rPr>
      <t>Action</t>
    </r>
    <r>
      <rPr>
        <sz val="11"/>
        <rFont val="Arial"/>
        <family val="2"/>
      </rPr>
      <t xml:space="preserve"> button text changes from </t>
    </r>
    <r>
      <rPr>
        <b/>
        <sz val="11"/>
        <rFont val="Arial"/>
        <family val="2"/>
      </rPr>
      <t>Show</t>
    </r>
    <r>
      <rPr>
        <sz val="11"/>
        <rFont val="Arial"/>
        <family val="2"/>
      </rPr>
      <t xml:space="preserve"> to </t>
    </r>
    <r>
      <rPr>
        <b/>
        <sz val="11"/>
        <rFont val="Arial"/>
        <family val="2"/>
      </rPr>
      <t>Hide</t>
    </r>
    <r>
      <rPr>
        <sz val="11"/>
        <rFont val="Arial"/>
        <family val="2"/>
      </rPr>
      <t xml:space="preserve">, and row text returns to normal style. On the customer Menu page: that product becomes </t>
    </r>
    <r>
      <rPr>
        <b/>
        <sz val="11"/>
        <rFont val="Arial"/>
        <family val="2"/>
      </rPr>
      <t>visible</t>
    </r>
    <r>
      <rPr>
        <sz val="11"/>
        <rFont val="Arial"/>
        <family val="2"/>
      </rPr>
      <t xml:space="preserve"> again in the list of foods.</t>
    </r>
  </si>
  <si>
    <r>
      <t xml:space="preserve">The new product appears in the All Food List table with correct </t>
    </r>
    <r>
      <rPr>
        <b/>
        <sz val="11"/>
        <rFont val="Arial"/>
        <family val="2"/>
      </rPr>
      <t>Image, Name, Category, Price</t>
    </r>
    <r>
      <rPr>
        <sz val="11"/>
        <rFont val="Arial"/>
        <family val="2"/>
      </rPr>
      <t xml:space="preserve">, and </t>
    </r>
    <r>
      <rPr>
        <b/>
        <sz val="11"/>
        <rFont val="Arial"/>
        <family val="2"/>
      </rPr>
      <t>Action</t>
    </r>
    <r>
      <rPr>
        <sz val="11"/>
        <rFont val="Arial"/>
        <family val="2"/>
      </rPr>
      <t xml:space="preserve"> button set to </t>
    </r>
    <r>
      <rPr>
        <b/>
        <sz val="11"/>
        <rFont val="Arial"/>
        <family val="2"/>
      </rPr>
      <t>Hide</t>
    </r>
    <r>
      <rPr>
        <sz val="11"/>
        <rFont val="Arial"/>
        <family val="2"/>
      </rPr>
      <t xml:space="preserve"> (visible by default).</t>
    </r>
  </si>
  <si>
    <r>
      <t xml:space="preserve">1. Navigate to </t>
    </r>
    <r>
      <rPr>
        <b/>
        <sz val="11"/>
        <rFont val="Arial"/>
        <family val="2"/>
      </rPr>
      <t>List Items</t>
    </r>
    <r>
      <rPr>
        <sz val="11"/>
        <rFont val="Arial"/>
        <family val="2"/>
      </rPr>
      <t xml:space="preserve"> → All Food List.
2. Identify a product whose </t>
    </r>
    <r>
      <rPr>
        <b/>
        <sz val="11"/>
        <rFont val="Arial"/>
        <family val="2"/>
      </rPr>
      <t>Action</t>
    </r>
    <r>
      <rPr>
        <sz val="11"/>
        <rFont val="Arial"/>
        <family val="2"/>
      </rPr>
      <t xml:space="preserve"> button is </t>
    </r>
    <r>
      <rPr>
        <b/>
        <sz val="11"/>
        <rFont val="Arial"/>
        <family val="2"/>
      </rPr>
      <t>Hide</t>
    </r>
    <r>
      <rPr>
        <sz val="11"/>
        <rFont val="Arial"/>
        <family val="2"/>
      </rPr>
      <t xml:space="preserve"> (item is currently visible on customer menu).
3. Click the </t>
    </r>
    <r>
      <rPr>
        <b/>
        <sz val="11"/>
        <rFont val="Arial"/>
        <family val="2"/>
      </rPr>
      <t>Hide</t>
    </r>
    <r>
      <rPr>
        <sz val="11"/>
        <rFont val="Arial"/>
        <family val="2"/>
      </rPr>
      <t xml:space="preserve"> button for that product.
4. Open the customer </t>
    </r>
    <r>
      <rPr>
        <b/>
        <sz val="11"/>
        <rFont val="Arial"/>
        <family val="2"/>
      </rPr>
      <t>Menu</t>
    </r>
    <r>
      <rPr>
        <sz val="11"/>
        <rFont val="Arial"/>
        <family val="2"/>
      </rPr>
      <t xml:space="preserve"> page in a new tab/window and look for that product.</t>
    </r>
  </si>
  <si>
    <r>
      <t xml:space="preserve">1. Identify a product whose </t>
    </r>
    <r>
      <rPr>
        <b/>
        <sz val="11"/>
        <rFont val="Arial"/>
        <family val="2"/>
      </rPr>
      <t>Action</t>
    </r>
    <r>
      <rPr>
        <sz val="11"/>
        <rFont val="Arial"/>
        <family val="2"/>
      </rPr>
      <t xml:space="preserve"> button is </t>
    </r>
    <r>
      <rPr>
        <b/>
        <sz val="11"/>
        <rFont val="Arial"/>
        <family val="2"/>
      </rPr>
      <t>Show</t>
    </r>
    <r>
      <rPr>
        <sz val="11"/>
        <rFont val="Arial"/>
        <family val="2"/>
      </rPr>
      <t xml:space="preserve"> (item is currently hidden on customer menu).
2. Click the </t>
    </r>
    <r>
      <rPr>
        <b/>
        <sz val="11"/>
        <rFont val="Arial"/>
        <family val="2"/>
      </rPr>
      <t>Show</t>
    </r>
    <r>
      <rPr>
        <sz val="11"/>
        <rFont val="Arial"/>
        <family val="2"/>
      </rPr>
      <t xml:space="preserve"> button for that product.
3. Open/reload the customer </t>
    </r>
    <r>
      <rPr>
        <b/>
        <sz val="11"/>
        <rFont val="Arial"/>
        <family val="2"/>
      </rPr>
      <t>Menu</t>
    </r>
    <r>
      <rPr>
        <sz val="11"/>
        <rFont val="Arial"/>
        <family val="2"/>
      </rPr>
      <t xml:space="preserve"> page and look for that product.</t>
    </r>
  </si>
  <si>
    <r>
      <t xml:space="preserve">1. From sidebar, click </t>
    </r>
    <r>
      <rPr>
        <b/>
        <sz val="11"/>
        <rFont val="Arial"/>
        <family val="2"/>
      </rPr>
      <t>Add Items</t>
    </r>
    <r>
      <rPr>
        <sz val="11"/>
        <rFont val="Arial"/>
        <family val="2"/>
      </rPr>
      <t xml:space="preserve"> and add a valid new product (with image, name, category, price).
2. After saving, go to </t>
    </r>
    <r>
      <rPr>
        <b/>
        <sz val="11"/>
        <rFont val="Arial"/>
        <family val="2"/>
      </rPr>
      <t>List Items</t>
    </r>
    <r>
      <rPr>
        <sz val="11"/>
        <rFont val="Arial"/>
        <family val="2"/>
      </rPr>
      <t xml:space="preserve"> page.
3. Search visually for the new product in the All Food List.</t>
    </r>
  </si>
  <si>
    <t>Change order status from “Food Processing” to “Out for delivery”</t>
  </si>
  <si>
    <t>TC_ORD_02</t>
  </si>
  <si>
    <t>Change order status from “Out for delivery” to “Delivered”</t>
  </si>
  <si>
    <t>TC_ORD_03</t>
  </si>
  <si>
    <t>Newly created customer order appears on Order Page with correct information</t>
  </si>
  <si>
    <r>
      <t xml:space="preserve">The selected order’s status is updated to </t>
    </r>
    <r>
      <rPr>
        <b/>
        <sz val="11"/>
        <rFont val="Arial"/>
        <family val="2"/>
      </rPr>
      <t>Delivered</t>
    </r>
    <r>
      <rPr>
        <sz val="11"/>
        <rFont val="Arial"/>
        <family val="2"/>
      </rPr>
      <t xml:space="preserve">. After refresh, the order still shows </t>
    </r>
    <r>
      <rPr>
        <b/>
        <sz val="11"/>
        <rFont val="Arial"/>
        <family val="2"/>
      </rPr>
      <t>Delivered</t>
    </r>
    <r>
      <rPr>
        <sz val="11"/>
        <rFont val="Arial"/>
        <family val="2"/>
      </rPr>
      <t xml:space="preserve"> in the status dropdown. The order may be visually marked as completed if such styling is implemented.</t>
    </r>
  </si>
  <si>
    <r>
      <t xml:space="preserve">1. From the admin panel, open the </t>
    </r>
    <r>
      <rPr>
        <b/>
        <sz val="11"/>
        <rFont val="Arial"/>
        <family val="2"/>
      </rPr>
      <t>Order Page</t>
    </r>
    <r>
      <rPr>
        <sz val="11"/>
        <rFont val="Arial"/>
        <family val="2"/>
      </rPr>
      <t xml:space="preserve">.
2. Locate an order whose status dropdown currently shows </t>
    </r>
    <r>
      <rPr>
        <b/>
        <sz val="11"/>
        <rFont val="Arial"/>
        <family val="2"/>
      </rPr>
      <t>Food Processing</t>
    </r>
    <r>
      <rPr>
        <sz val="11"/>
        <rFont val="Arial"/>
        <family val="2"/>
      </rPr>
      <t xml:space="preserve">.
3. Click the status dropdown for that order.
4. Select </t>
    </r>
    <r>
      <rPr>
        <b/>
        <sz val="11"/>
        <rFont val="Arial"/>
        <family val="2"/>
      </rPr>
      <t>Out for delivery</t>
    </r>
    <r>
      <rPr>
        <sz val="11"/>
        <rFont val="Arial"/>
        <family val="2"/>
      </rPr>
      <t xml:space="preserve"> from the list.
5. Refresh the page or reopen Orders page.</t>
    </r>
  </si>
  <si>
    <r>
      <t xml:space="preserve">The selected order’s status is updated to </t>
    </r>
    <r>
      <rPr>
        <b/>
        <sz val="11"/>
        <rFont val="Arial"/>
        <family val="2"/>
      </rPr>
      <t>Out for delivery</t>
    </r>
    <r>
      <rPr>
        <sz val="11"/>
        <rFont val="Arial"/>
        <family val="2"/>
      </rPr>
      <t xml:space="preserve">. After refresh/reopen Orders page, the same order still shows </t>
    </r>
    <r>
      <rPr>
        <b/>
        <sz val="11"/>
        <rFont val="Arial"/>
        <family val="2"/>
      </rPr>
      <t>Out for delivery</t>
    </r>
    <r>
      <rPr>
        <sz val="11"/>
        <rFont val="Arial"/>
        <family val="2"/>
      </rPr>
      <t xml:space="preserve"> in the status dropdown.</t>
    </r>
  </si>
  <si>
    <r>
      <t xml:space="preserve">1. On the </t>
    </r>
    <r>
      <rPr>
        <b/>
        <sz val="11"/>
        <rFont val="Arial"/>
        <family val="2"/>
      </rPr>
      <t>Order Page</t>
    </r>
    <r>
      <rPr>
        <sz val="11"/>
        <rFont val="Arial"/>
        <family val="2"/>
      </rPr>
      <t xml:space="preserve">, locate an order whose status dropdown shows </t>
    </r>
    <r>
      <rPr>
        <b/>
        <sz val="11"/>
        <rFont val="Arial"/>
        <family val="2"/>
      </rPr>
      <t>Out for delivery</t>
    </r>
    <r>
      <rPr>
        <sz val="11"/>
        <rFont val="Arial"/>
        <family val="2"/>
      </rPr>
      <t xml:space="preserve">.
2. Click the status dropdown for that order.
3. Select </t>
    </r>
    <r>
      <rPr>
        <b/>
        <sz val="11"/>
        <rFont val="Arial"/>
        <family val="2"/>
      </rPr>
      <t>Delivered</t>
    </r>
    <r>
      <rPr>
        <sz val="11"/>
        <rFont val="Arial"/>
        <family val="2"/>
      </rPr>
      <t xml:space="preserve"> from the options.
4. Refresh the page or reopen Orders page.</t>
    </r>
  </si>
  <si>
    <r>
      <t xml:space="preserve">1. On the customer site, place a new order successfully.
2. In the admin panel, open the </t>
    </r>
    <r>
      <rPr>
        <b/>
        <sz val="11"/>
        <rFont val="Arial"/>
        <family val="2"/>
      </rPr>
      <t>Order Page</t>
    </r>
    <r>
      <rPr>
        <sz val="11"/>
        <rFont val="Arial"/>
        <family val="2"/>
      </rPr>
      <t>.
3. Look for the new order in the list of orders.</t>
    </r>
  </si>
  <si>
    <r>
      <t xml:space="preserve">The new order appears on the Order Page with correct </t>
    </r>
    <r>
      <rPr>
        <b/>
        <sz val="11"/>
        <rFont val="Arial"/>
        <family val="2"/>
      </rPr>
      <t>item name(s), quantity (Items:), customer name, address, phone number, and total price</t>
    </r>
    <r>
      <rPr>
        <sz val="11"/>
        <rFont val="Arial"/>
        <family val="2"/>
      </rPr>
      <t xml:space="preserve">. Default status is </t>
    </r>
    <r>
      <rPr>
        <b/>
        <sz val="11"/>
        <rFont val="Arial"/>
        <family val="2"/>
      </rPr>
      <t>Food Processing</t>
    </r>
    <r>
      <rPr>
        <sz val="11"/>
        <rFont val="Arial"/>
        <family val="2"/>
      </rPr>
      <t>.</t>
    </r>
  </si>
  <si>
    <t>TC_USR_01</t>
  </si>
  <si>
    <t>Change user role from “User” to “Admin” and save</t>
  </si>
  <si>
    <t>TC_USR_02</t>
  </si>
  <si>
    <t>Change user status from “Active” to another status and save</t>
  </si>
  <si>
    <t>TC_USR_03</t>
  </si>
  <si>
    <t>Delete a user from User Management list</t>
  </si>
  <si>
    <r>
      <t xml:space="preserve">1. Open the </t>
    </r>
    <r>
      <rPr>
        <b/>
        <sz val="11"/>
        <rFont val="Arial"/>
        <family val="2"/>
      </rPr>
      <t>User Management</t>
    </r>
    <r>
      <rPr>
        <sz val="11"/>
        <rFont val="Arial"/>
        <family val="2"/>
      </rPr>
      <t xml:space="preserve"> page.
2. In the list, locate a row whose </t>
    </r>
    <r>
      <rPr>
        <b/>
        <sz val="11"/>
        <rFont val="Arial"/>
        <family val="2"/>
      </rPr>
      <t>Role</t>
    </r>
    <r>
      <rPr>
        <sz val="11"/>
        <rFont val="Arial"/>
        <family val="2"/>
      </rPr>
      <t xml:space="preserve"> dropdown is currently set to </t>
    </r>
    <r>
      <rPr>
        <b/>
        <sz val="11"/>
        <rFont val="Arial"/>
        <family val="2"/>
      </rPr>
      <t>User</t>
    </r>
    <r>
      <rPr>
        <sz val="11"/>
        <rFont val="Arial"/>
        <family val="2"/>
      </rPr>
      <t xml:space="preserve">.
3. Change the </t>
    </r>
    <r>
      <rPr>
        <b/>
        <sz val="11"/>
        <rFont val="Arial"/>
        <family val="2"/>
      </rPr>
      <t>Role</t>
    </r>
    <r>
      <rPr>
        <sz val="11"/>
        <rFont val="Arial"/>
        <family val="2"/>
      </rPr>
      <t xml:space="preserve"> dropdown from </t>
    </r>
    <r>
      <rPr>
        <b/>
        <sz val="11"/>
        <rFont val="Arial"/>
        <family val="2"/>
      </rPr>
      <t>User</t>
    </r>
    <r>
      <rPr>
        <sz val="11"/>
        <rFont val="Arial"/>
        <family val="2"/>
      </rPr>
      <t xml:space="preserve"> to </t>
    </r>
    <r>
      <rPr>
        <b/>
        <sz val="11"/>
        <rFont val="Arial"/>
        <family val="2"/>
      </rPr>
      <t>Admin</t>
    </r>
    <r>
      <rPr>
        <sz val="11"/>
        <rFont val="Arial"/>
        <family val="2"/>
      </rPr>
      <t xml:space="preserve">.
4. Click the </t>
    </r>
    <r>
      <rPr>
        <b/>
        <sz val="11"/>
        <rFont val="Arial"/>
        <family val="2"/>
      </rPr>
      <t>Save</t>
    </r>
    <r>
      <rPr>
        <sz val="11"/>
        <rFont val="Arial"/>
        <family val="2"/>
      </rPr>
      <t xml:space="preserve"> button in the same row.
5. Refresh the User Management page.</t>
    </r>
  </si>
  <si>
    <r>
      <t xml:space="preserve">1. On the </t>
    </r>
    <r>
      <rPr>
        <b/>
        <sz val="11"/>
        <rFont val="Arial"/>
        <family val="2"/>
      </rPr>
      <t>User Management</t>
    </r>
    <r>
      <rPr>
        <sz val="11"/>
        <rFont val="Arial"/>
        <family val="2"/>
      </rPr>
      <t xml:space="preserve"> page, locate a user whose </t>
    </r>
    <r>
      <rPr>
        <b/>
        <sz val="11"/>
        <rFont val="Arial"/>
        <family val="2"/>
      </rPr>
      <t>Status</t>
    </r>
    <r>
      <rPr>
        <sz val="11"/>
        <rFont val="Arial"/>
        <family val="2"/>
      </rPr>
      <t xml:space="preserve"> dropdown is set to </t>
    </r>
    <r>
      <rPr>
        <b/>
        <sz val="11"/>
        <rFont val="Arial"/>
        <family val="2"/>
      </rPr>
      <t>Active</t>
    </r>
    <r>
      <rPr>
        <sz val="11"/>
        <rFont val="Arial"/>
        <family val="2"/>
      </rPr>
      <t xml:space="preserve">.
2. Change the </t>
    </r>
    <r>
      <rPr>
        <b/>
        <sz val="11"/>
        <rFont val="Arial"/>
        <family val="2"/>
      </rPr>
      <t>Status</t>
    </r>
    <r>
      <rPr>
        <sz val="11"/>
        <rFont val="Arial"/>
        <family val="2"/>
      </rPr>
      <t xml:space="preserve"> dropdown to another available value.
3. Click </t>
    </r>
    <r>
      <rPr>
        <b/>
        <sz val="11"/>
        <rFont val="Arial"/>
        <family val="2"/>
      </rPr>
      <t>Save</t>
    </r>
    <r>
      <rPr>
        <sz val="11"/>
        <rFont val="Arial"/>
        <family val="2"/>
      </rPr>
      <t xml:space="preserve"> in that row.
4. Refresh the page.</t>
    </r>
  </si>
  <si>
    <t>The selected user’s status is updated to the new value. After refresh, the same status value is shown for that user in the Status column.</t>
  </si>
  <si>
    <r>
      <t xml:space="preserve">The selected user’s role is updated to </t>
    </r>
    <r>
      <rPr>
        <b/>
        <sz val="11"/>
        <rFont val="Arial"/>
        <family val="2"/>
      </rPr>
      <t>Admin</t>
    </r>
    <r>
      <rPr>
        <sz val="11"/>
        <rFont val="Arial"/>
        <family val="2"/>
      </rPr>
      <t xml:space="preserve">. After refresh, the same row still shows </t>
    </r>
    <r>
      <rPr>
        <b/>
        <sz val="11"/>
        <rFont val="Arial"/>
        <family val="2"/>
      </rPr>
      <t>Admin</t>
    </r>
    <r>
      <rPr>
        <sz val="11"/>
        <rFont val="Arial"/>
        <family val="2"/>
      </rPr>
      <t xml:space="preserve"> in the Role column.</t>
    </r>
  </si>
  <si>
    <r>
      <t xml:space="preserve">1. On the </t>
    </r>
    <r>
      <rPr>
        <b/>
        <sz val="11"/>
        <rFont val="Arial"/>
        <family val="2"/>
      </rPr>
      <t>User Management</t>
    </r>
    <r>
      <rPr>
        <sz val="11"/>
        <rFont val="Arial"/>
        <family val="2"/>
      </rPr>
      <t xml:space="preserve"> page, choose a user that is allowed to be deleted (not the main system admin account, if restricted).
2. Click the </t>
    </r>
    <r>
      <rPr>
        <b/>
        <sz val="11"/>
        <rFont val="Arial"/>
        <family val="2"/>
      </rPr>
      <t>Delete</t>
    </r>
    <r>
      <rPr>
        <sz val="11"/>
        <rFont val="Arial"/>
        <family val="2"/>
      </rPr>
      <t xml:space="preserve"> button in that user’s row.
3. Confirm deletion if a confirmation dialog appears.
4. Refresh the page.</t>
    </r>
  </si>
  <si>
    <t>The selected user is removed from the list and no longer appears in the User Management table.</t>
  </si>
  <si>
    <t>TC_ADM_01</t>
  </si>
  <si>
    <t>Admin logs in with valid email and password</t>
  </si>
  <si>
    <t>TC_ADM_02</t>
  </si>
  <si>
    <t>Admin login with incorrect password</t>
  </si>
  <si>
    <t>TC_ADM_03</t>
  </si>
  <si>
    <t>Admin login with empty required fields</t>
  </si>
  <si>
    <t>TC_ADM_04</t>
  </si>
  <si>
    <t>Admin logs out successfully from admin dashboard</t>
  </si>
  <si>
    <t>Admin session is terminated. User is redirected to the Admin Login page. When trying to access any admin page again, the system requires login and does not show the protected pages without authentication.</t>
  </si>
  <si>
    <r>
      <t xml:space="preserve">1. Open the </t>
    </r>
    <r>
      <rPr>
        <b/>
        <sz val="11"/>
        <rFont val="Arial"/>
        <family val="2"/>
      </rPr>
      <t>Admin Login</t>
    </r>
    <r>
      <rPr>
        <sz val="11"/>
        <rFont val="Arial"/>
        <family val="2"/>
      </rPr>
      <t xml:space="preserve"> page.
2. In the </t>
    </r>
    <r>
      <rPr>
        <b/>
        <sz val="11"/>
        <rFont val="Arial"/>
        <family val="2"/>
      </rPr>
      <t>Your email</t>
    </r>
    <r>
      <rPr>
        <sz val="11"/>
        <rFont val="Arial"/>
        <family val="2"/>
      </rPr>
      <t xml:space="preserve"> field, enter a valid admin email.
3. In the </t>
    </r>
    <r>
      <rPr>
        <b/>
        <sz val="11"/>
        <rFont val="Arial"/>
        <family val="2"/>
      </rPr>
      <t>Your password</t>
    </r>
    <r>
      <rPr>
        <sz val="11"/>
        <rFont val="Arial"/>
        <family val="2"/>
      </rPr>
      <t xml:space="preserve"> field, enter the correct password.
4. Click the </t>
    </r>
    <r>
      <rPr>
        <b/>
        <sz val="11"/>
        <rFont val="Arial"/>
        <family val="2"/>
      </rPr>
      <t>Login</t>
    </r>
    <r>
      <rPr>
        <sz val="11"/>
        <rFont val="Arial"/>
        <family val="2"/>
      </rPr>
      <t xml:space="preserve"> button.</t>
    </r>
  </si>
  <si>
    <r>
      <t xml:space="preserve">1. From the admin dashboard, locate the </t>
    </r>
    <r>
      <rPr>
        <b/>
        <sz val="11"/>
        <rFont val="Arial"/>
        <family val="2"/>
      </rPr>
      <t>Logout</t>
    </r>
    <r>
      <rPr>
        <sz val="11"/>
        <rFont val="Arial"/>
        <family val="2"/>
      </rPr>
      <t xml:space="preserve"> button/icon.
2. Click </t>
    </r>
    <r>
      <rPr>
        <b/>
        <sz val="11"/>
        <rFont val="Arial"/>
        <family val="2"/>
      </rPr>
      <t>Logout</t>
    </r>
    <r>
      <rPr>
        <sz val="11"/>
        <rFont val="Arial"/>
        <family val="2"/>
      </rPr>
      <t>.
3. Try to access an admin page again using the browser’s Back button or by typing the admin URL directly.</t>
    </r>
  </si>
  <si>
    <r>
      <t xml:space="preserve">1. Open the </t>
    </r>
    <r>
      <rPr>
        <b/>
        <sz val="11"/>
        <rFont val="Arial"/>
        <family val="2"/>
      </rPr>
      <t>Admin Login</t>
    </r>
    <r>
      <rPr>
        <sz val="11"/>
        <rFont val="Arial"/>
        <family val="2"/>
      </rPr>
      <t xml:space="preserve"> page.
2. Leave </t>
    </r>
    <r>
      <rPr>
        <b/>
        <sz val="11"/>
        <rFont val="Arial"/>
        <family val="2"/>
      </rPr>
      <t>Your email</t>
    </r>
    <r>
      <rPr>
        <sz val="11"/>
        <rFont val="Arial"/>
        <family val="2"/>
      </rPr>
      <t xml:space="preserve"> and </t>
    </r>
    <r>
      <rPr>
        <b/>
        <sz val="11"/>
        <rFont val="Arial"/>
        <family val="2"/>
      </rPr>
      <t>Your password</t>
    </r>
    <r>
      <rPr>
        <sz val="11"/>
        <rFont val="Arial"/>
        <family val="2"/>
      </rPr>
      <t xml:space="preserve"> fields empty.
3. Click </t>
    </r>
    <r>
      <rPr>
        <b/>
        <sz val="11"/>
        <rFont val="Arial"/>
        <family val="2"/>
      </rPr>
      <t>Login</t>
    </r>
    <r>
      <rPr>
        <sz val="11"/>
        <rFont val="Arial"/>
        <family val="2"/>
      </rPr>
      <t>.</t>
    </r>
  </si>
  <si>
    <r>
      <t xml:space="preserve">1. Open the </t>
    </r>
    <r>
      <rPr>
        <b/>
        <sz val="11"/>
        <rFont val="Arial"/>
        <family val="2"/>
      </rPr>
      <t>Admin Login</t>
    </r>
    <r>
      <rPr>
        <sz val="11"/>
        <rFont val="Arial"/>
        <family val="2"/>
      </rPr>
      <t xml:space="preserve"> page
2. Enter a valid admin email.
3. In the </t>
    </r>
    <r>
      <rPr>
        <b/>
        <sz val="11"/>
        <rFont val="Arial"/>
        <family val="2"/>
      </rPr>
      <t>Your password</t>
    </r>
    <r>
      <rPr>
        <sz val="11"/>
        <rFont val="Arial"/>
        <family val="2"/>
      </rPr>
      <t xml:space="preserve"> field, enter an incorrect password.
4. Click </t>
    </r>
    <r>
      <rPr>
        <b/>
        <sz val="11"/>
        <rFont val="Arial"/>
        <family val="2"/>
      </rPr>
      <t>Login</t>
    </r>
    <r>
      <rPr>
        <sz val="11"/>
        <rFont val="Arial"/>
        <family val="2"/>
      </rPr>
      <t>.</t>
    </r>
  </si>
  <si>
    <t>Admin is authenticated successfully and redirected to the admin dashboard. No error message is shown.</t>
  </si>
  <si>
    <t>Login fails. Admin stays on the login page and an error message is displayed. No access to admin dashboard is granted.</t>
  </si>
  <si>
    <t>System does not submit the form. Validation message(s) are displayed for the empty field(s). Admin is not logged in.</t>
  </si>
  <si>
    <t>TC_ORD_04</t>
  </si>
  <si>
    <t>(Pass for Price &gt; 0
Not Pass for price &lt; 0)</t>
  </si>
  <si>
    <t>Note</t>
  </si>
  <si>
    <t>TEST REPORT</t>
  </si>
  <si>
    <t>Project Name</t>
  </si>
  <si>
    <t>&lt;Project Name&gt;</t>
  </si>
  <si>
    <t>Creator</t>
  </si>
  <si>
    <t>Project Code</t>
  </si>
  <si>
    <t>&lt;Project Code&gt;</t>
  </si>
  <si>
    <t>Reviewer/Approver</t>
  </si>
  <si>
    <t>Document Code</t>
  </si>
  <si>
    <t>Issue Date</t>
  </si>
  <si>
    <t>&lt;Date when this test report is created&gt;</t>
  </si>
  <si>
    <t>Notes</t>
  </si>
  <si>
    <t>&lt;List modules included in this release&gt; ex: Release 1 includes 2 modules: Module1 and Module2</t>
  </si>
  <si>
    <t>No</t>
  </si>
  <si>
    <t>Module code</t>
  </si>
  <si>
    <t>Number of  test cases</t>
  </si>
  <si>
    <t>Sub total</t>
  </si>
  <si>
    <t>Test coverage</t>
  </si>
  <si>
    <t>%</t>
  </si>
  <si>
    <t>Test successful coverage</t>
  </si>
  <si>
    <t>Authentication</t>
  </si>
  <si>
    <t>Product</t>
  </si>
  <si>
    <t>Order &amp; Payment</t>
  </si>
  <si>
    <t>&lt;List of documents which are referred in this version.&gt;</t>
  </si>
  <si>
    <t>&lt;Date when these changes are effective&gt;</t>
  </si>
  <si>
    <t>Reference</t>
  </si>
  <si>
    <t>Change description</t>
  </si>
  <si>
    <t>*A,D,M</t>
  </si>
  <si>
    <t>Change Item</t>
  </si>
  <si>
    <t>Version</t>
  </si>
  <si>
    <t>Effective Date</t>
  </si>
  <si>
    <t>Record of change</t>
  </si>
  <si>
    <t>TEST CASE</t>
  </si>
  <si>
    <t>TEST CASE LIST</t>
  </si>
  <si>
    <t>Test Environment Setup Description</t>
  </si>
  <si>
    <t>&lt;List enviroment requires in this system
1. Server
2. Database
3. Web Browser
...
&gt;</t>
  </si>
  <si>
    <t>Function Name</t>
  </si>
  <si>
    <t>Sheet Name</t>
  </si>
  <si>
    <t>Description</t>
  </si>
  <si>
    <t>Pre-Condition</t>
  </si>
  <si>
    <t>Cart Interaction</t>
  </si>
  <si>
    <t>Authentication &amp; User Management</t>
  </si>
  <si>
    <t>Includes User Registration, Login/Logout for both Customer and Admin, and User Role/Status Management.</t>
  </si>
  <si>
    <t>Database initialized and system accessible.</t>
  </si>
  <si>
    <t>Product &amp; Catalog Management</t>
  </si>
  <si>
    <t>Management of food items: Adding new products, Hiding/Showing items on the menu, and Category filtering.</t>
  </si>
  <si>
    <t>Admin privileges granted.</t>
  </si>
  <si>
    <t>Core shopping cart operations: Adding items, Removing items, and Updating product quantities.</t>
  </si>
  <si>
    <t>Food menu is accessible with items.</t>
  </si>
  <si>
    <t>Order &amp; Payment Processing</t>
  </si>
  <si>
    <t>End-to-end checkout via Stripe, Delivery info validation, Order tracking, and Admin order status updates.</t>
  </si>
  <si>
    <t>Cart contains at least one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</si>
</sst>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mm\-yy;@"/>
  </numFmts>
  <fonts count="24">
    <font>
      <sz val="11"/>
      <name val="ＭＳ Ｐゴシック"/>
      <family val="3"/>
      <charset val="128"/>
    </font>
    <font>
      <sz val="10"/>
      <name val="Arial"/>
      <family val="2"/>
    </font>
    <font>
      <sz val="9"/>
      <name val="ＭＳ ゴシック"/>
      <family val="3"/>
      <charset val="128"/>
    </font>
    <font>
      <sz val="10"/>
      <name val="Tahoma"/>
      <family val="2"/>
    </font>
    <font>
      <i/>
      <sz val="10"/>
      <color indexed="17"/>
      <name val="Tahoma"/>
      <family val="2"/>
    </font>
    <font>
      <b/>
      <sz val="10"/>
      <color indexed="9"/>
      <name val="Tahoma"/>
      <family val="2"/>
    </font>
    <font>
      <b/>
      <sz val="10"/>
      <color indexed="8"/>
      <name val="Tahoma"/>
      <family val="2"/>
    </font>
    <font>
      <b/>
      <sz val="10"/>
      <name val="Tahoma"/>
      <family val="2"/>
    </font>
    <font>
      <sz val="10"/>
      <color indexed="8"/>
      <name val="Tahoma"/>
      <family val="2"/>
    </font>
    <font>
      <sz val="11"/>
      <name val="ＭＳ Ｐゴシック"/>
      <family val="3"/>
      <charset val="128"/>
    </font>
    <font>
      <sz val="11"/>
      <name val="Arial"/>
      <family val="2"/>
    </font>
    <font>
      <sz val="10"/>
      <color indexed="8"/>
      <name val="Arial"/>
      <family val="2"/>
    </font>
    <font>
      <b/>
      <sz val="11"/>
      <name val="Arial"/>
      <family val="2"/>
    </font>
    <font>
      <b/>
      <sz val="20"/>
      <color indexed="8"/>
      <name val="Tahoma"/>
      <family val="2"/>
    </font>
    <font>
      <b/>
      <sz val="10"/>
      <color indexed="60"/>
      <name val="Tahoma"/>
      <family val="2"/>
    </font>
    <font>
      <sz val="10"/>
      <color indexed="9"/>
      <name val="Tahoma"/>
      <family val="2"/>
    </font>
    <font>
      <b/>
      <sz val="10"/>
      <color indexed="12"/>
      <name val="Tahoma"/>
      <family val="2"/>
    </font>
    <font>
      <b/>
      <sz val="26"/>
      <color indexed="10"/>
      <name val="Tahoma"/>
      <family val="2"/>
    </font>
    <font>
      <b/>
      <sz val="22"/>
      <color indexed="10"/>
      <name val="Tahoma"/>
      <family val="2"/>
    </font>
    <font>
      <b/>
      <sz val="10"/>
      <color indexed="8"/>
      <name val="Times New Roman"/>
      <family val="1"/>
    </font>
    <font>
      <sz val="10"/>
      <color indexed="8"/>
      <name val="Times New Roman"/>
      <family val="1"/>
    </font>
    <font>
      <b/>
      <sz val="10"/>
      <color indexed="10"/>
      <name val="Tahoma"/>
      <family val="2"/>
    </font>
    <font>
      <b/>
      <sz val="11"/>
      <color rgb="FF1F1F1F"/>
      <name val="Arial"/>
      <family val="2"/>
    </font>
    <font>
      <sz val="11"/>
      <color rgb="FF1F1F1F"/>
      <name val="Arial"/>
      <family val="2"/>
    </font>
  </fonts>
  <fills count="5">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s>
  <borders count="44">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thin">
        <color indexed="8"/>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indexed="8"/>
      </left>
      <right style="hair">
        <color indexed="8"/>
      </right>
      <top style="hair">
        <color indexed="8"/>
      </top>
      <bottom style="thin">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thin">
        <color indexed="8"/>
      </top>
      <bottom style="hair">
        <color indexed="8"/>
      </bottom>
      <diagonal/>
    </border>
    <border>
      <left style="medium">
        <color rgb="FF000000"/>
      </left>
      <right style="medium">
        <color rgb="FF000000"/>
      </right>
      <top style="medium">
        <color rgb="FF000000"/>
      </top>
      <bottom style="medium">
        <color rgb="FF000000"/>
      </bottom>
      <diagonal/>
    </border>
  </borders>
  <cellStyleXfs count="4">
    <xf numFmtId="0" fontId="0" fillId="0" borderId="0"/>
    <xf numFmtId="0" fontId="9" fillId="0" borderId="0"/>
    <xf numFmtId="0" fontId="2" fillId="0" borderId="0"/>
    <xf numFmtId="0" fontId="9" fillId="0" borderId="0"/>
  </cellStyleXfs>
  <cellXfs count="162">
    <xf numFmtId="0" fontId="0" fillId="0" borderId="0" xfId="0"/>
    <xf numFmtId="0" fontId="3" fillId="2" borderId="0" xfId="0" applyFont="1" applyFill="1"/>
    <xf numFmtId="0" fontId="8" fillId="2" borderId="0" xfId="0" applyFont="1" applyFill="1"/>
    <xf numFmtId="0" fontId="6" fillId="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2" borderId="0" xfId="0" applyFont="1" applyFill="1" applyAlignment="1">
      <alignment horizontal="center" wrapText="1"/>
    </xf>
    <xf numFmtId="0" fontId="8" fillId="2" borderId="0" xfId="0" applyFont="1" applyFill="1" applyAlignment="1">
      <alignment horizontal="center" wrapText="1"/>
    </xf>
    <xf numFmtId="0" fontId="8" fillId="2" borderId="0" xfId="0" applyFont="1" applyFill="1" applyAlignment="1">
      <alignment vertical="top"/>
    </xf>
    <xf numFmtId="0" fontId="1" fillId="2" borderId="3" xfId="0" applyFont="1" applyFill="1" applyBorder="1" applyAlignment="1">
      <alignment horizontal="left" vertical="center" wrapText="1"/>
    </xf>
    <xf numFmtId="0" fontId="8" fillId="0" borderId="0" xfId="0" applyFont="1"/>
    <xf numFmtId="0" fontId="5" fillId="3" borderId="3" xfId="1" applyFont="1" applyFill="1" applyBorder="1" applyAlignment="1">
      <alignment horizontal="center" vertical="center" wrapText="1"/>
    </xf>
    <xf numFmtId="0" fontId="10" fillId="0" borderId="3" xfId="0" applyFont="1" applyBorder="1" applyAlignment="1">
      <alignment horizontal="left" vertical="center" wrapText="1"/>
    </xf>
    <xf numFmtId="0" fontId="10" fillId="0" borderId="3" xfId="0" applyFont="1" applyBorder="1" applyAlignment="1">
      <alignment vertical="center" wrapText="1"/>
    </xf>
    <xf numFmtId="0" fontId="10" fillId="0" borderId="3" xfId="0" applyFont="1" applyBorder="1" applyAlignment="1">
      <alignment horizontal="left" vertical="center"/>
    </xf>
    <xf numFmtId="0" fontId="1" fillId="2" borderId="3" xfId="1" applyFont="1" applyFill="1" applyBorder="1" applyAlignment="1">
      <alignment horizontal="left" vertical="center" wrapText="1"/>
    </xf>
    <xf numFmtId="0" fontId="11" fillId="2" borderId="3" xfId="0" applyFont="1" applyFill="1" applyBorder="1" applyAlignment="1">
      <alignment horizontal="left" vertical="center" wrapText="1"/>
    </xf>
    <xf numFmtId="0" fontId="1" fillId="0" borderId="3" xfId="1" applyFont="1" applyBorder="1" applyAlignment="1">
      <alignment horizontal="left" vertical="center" wrapText="1"/>
    </xf>
    <xf numFmtId="0" fontId="1" fillId="2" borderId="3" xfId="0" applyFont="1" applyFill="1" applyBorder="1" applyAlignment="1">
      <alignment horizontal="left" vertical="center"/>
    </xf>
    <xf numFmtId="0" fontId="8" fillId="2" borderId="0" xfId="0" applyFont="1" applyFill="1" applyBorder="1"/>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wrapText="1"/>
    </xf>
    <xf numFmtId="0" fontId="7" fillId="2" borderId="4" xfId="1" applyFont="1" applyFill="1" applyBorder="1" applyAlignment="1">
      <alignment horizontal="center" vertical="center" wrapText="1"/>
    </xf>
    <xf numFmtId="0" fontId="10" fillId="0" borderId="13" xfId="0" applyFont="1" applyBorder="1" applyAlignment="1">
      <alignment vertical="center" wrapText="1"/>
    </xf>
    <xf numFmtId="0" fontId="5" fillId="3" borderId="14" xfId="1" applyFont="1" applyFill="1" applyBorder="1" applyAlignment="1">
      <alignment horizontal="center" vertical="center" wrapText="1"/>
    </xf>
    <xf numFmtId="0" fontId="5" fillId="3" borderId="15" xfId="1" applyFont="1" applyFill="1" applyBorder="1" applyAlignment="1">
      <alignment horizontal="center" vertical="center" wrapText="1"/>
    </xf>
    <xf numFmtId="0" fontId="5" fillId="3" borderId="16" xfId="1" applyFont="1" applyFill="1" applyBorder="1" applyAlignment="1">
      <alignment horizontal="center" vertical="center" wrapText="1"/>
    </xf>
    <xf numFmtId="0" fontId="10" fillId="0" borderId="17" xfId="0" applyFont="1" applyBorder="1" applyAlignment="1">
      <alignment horizontal="center" vertical="center"/>
    </xf>
    <xf numFmtId="0" fontId="1" fillId="2" borderId="18" xfId="1"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19" xfId="0" applyFont="1" applyBorder="1" applyAlignment="1">
      <alignment horizontal="center" vertical="center"/>
    </xf>
    <xf numFmtId="0" fontId="10" fillId="0" borderId="20" xfId="0" applyFont="1" applyBorder="1" applyAlignment="1">
      <alignment vertical="center" wrapText="1"/>
    </xf>
    <xf numFmtId="0" fontId="1" fillId="2" borderId="20" xfId="1" applyFont="1" applyFill="1" applyBorder="1" applyAlignment="1">
      <alignment horizontal="left" vertical="center" wrapText="1"/>
    </xf>
    <xf numFmtId="0" fontId="11" fillId="2" borderId="20" xfId="0" applyFont="1" applyFill="1" applyBorder="1" applyAlignment="1">
      <alignment horizontal="left" vertical="center" wrapText="1"/>
    </xf>
    <xf numFmtId="0" fontId="1" fillId="2" borderId="21" xfId="1" applyFont="1" applyFill="1" applyBorder="1" applyAlignment="1">
      <alignment horizontal="center" vertical="center" wrapText="1"/>
    </xf>
    <xf numFmtId="0" fontId="8" fillId="2" borderId="0" xfId="0" applyFont="1" applyFill="1" applyBorder="1" applyAlignment="1">
      <alignment vertical="top"/>
    </xf>
    <xf numFmtId="0" fontId="10" fillId="0" borderId="17" xfId="0" applyFont="1" applyBorder="1" applyAlignment="1">
      <alignment vertical="center" wrapText="1"/>
    </xf>
    <xf numFmtId="0" fontId="10" fillId="0" borderId="18" xfId="0" applyFont="1" applyBorder="1" applyAlignment="1">
      <alignment vertical="center" wrapText="1"/>
    </xf>
    <xf numFmtId="0" fontId="10" fillId="0" borderId="19" xfId="0" applyFont="1" applyBorder="1" applyAlignment="1">
      <alignment vertical="center" wrapText="1"/>
    </xf>
    <xf numFmtId="0" fontId="10" fillId="0" borderId="21" xfId="0" applyFont="1" applyBorder="1" applyAlignment="1">
      <alignment vertical="center" wrapText="1"/>
    </xf>
    <xf numFmtId="0" fontId="10" fillId="0" borderId="22" xfId="0" applyFont="1" applyBorder="1" applyAlignment="1">
      <alignment vertical="center" wrapText="1"/>
    </xf>
    <xf numFmtId="0" fontId="10" fillId="0" borderId="23" xfId="0" applyFont="1" applyBorder="1" applyAlignment="1">
      <alignment vertical="center" wrapText="1"/>
    </xf>
    <xf numFmtId="0" fontId="1" fillId="2" borderId="20" xfId="0" applyFont="1" applyFill="1" applyBorder="1" applyAlignment="1">
      <alignment vertical="center" wrapText="1"/>
    </xf>
    <xf numFmtId="0" fontId="1" fillId="2" borderId="21" xfId="0" applyFont="1" applyFill="1" applyBorder="1" applyAlignment="1">
      <alignment vertical="center"/>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1" fillId="0" borderId="3" xfId="1" applyFont="1" applyBorder="1" applyAlignment="1">
      <alignment horizontal="left" vertical="center"/>
    </xf>
    <xf numFmtId="0" fontId="10" fillId="0" borderId="17" xfId="0" applyFont="1" applyBorder="1" applyAlignment="1">
      <alignment horizontal="left"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5" fillId="3" borderId="24" xfId="1" applyFont="1" applyFill="1" applyBorder="1" applyAlignment="1">
      <alignment horizontal="center" vertical="center" wrapText="1"/>
    </xf>
    <xf numFmtId="0" fontId="5" fillId="3" borderId="0" xfId="1" applyFont="1" applyFill="1" applyBorder="1" applyAlignment="1">
      <alignment horizontal="center" vertical="center" wrapText="1"/>
    </xf>
    <xf numFmtId="0" fontId="3" fillId="2" borderId="0" xfId="0" applyFont="1" applyFill="1" applyAlignment="1">
      <alignment vertical="center"/>
    </xf>
    <xf numFmtId="0" fontId="3" fillId="2" borderId="3" xfId="0" applyFont="1" applyFill="1" applyBorder="1" applyAlignment="1">
      <alignment horizontal="center" vertical="center" wrapText="1"/>
    </xf>
    <xf numFmtId="0" fontId="13" fillId="2" borderId="0" xfId="3" applyFont="1" applyFill="1" applyBorder="1" applyAlignment="1">
      <alignment horizontal="center"/>
    </xf>
    <xf numFmtId="0" fontId="7" fillId="2" borderId="0" xfId="3" applyFont="1" applyFill="1" applyBorder="1"/>
    <xf numFmtId="0" fontId="3" fillId="2" borderId="0" xfId="3" applyFont="1" applyFill="1" applyBorder="1"/>
    <xf numFmtId="164" fontId="3" fillId="2" borderId="0" xfId="3" applyNumberFormat="1" applyFont="1" applyFill="1" applyBorder="1"/>
    <xf numFmtId="0" fontId="14" fillId="2" borderId="2" xfId="0" applyFont="1" applyFill="1" applyBorder="1" applyAlignment="1">
      <alignment horizontal="left" vertical="center"/>
    </xf>
    <xf numFmtId="0" fontId="4" fillId="2" borderId="2" xfId="0" applyFont="1" applyFill="1" applyBorder="1" applyAlignment="1">
      <alignment horizontal="left"/>
    </xf>
    <xf numFmtId="0" fontId="14" fillId="2" borderId="2" xfId="0" applyFont="1" applyFill="1" applyBorder="1" applyAlignment="1">
      <alignment horizontal="left"/>
    </xf>
    <xf numFmtId="0" fontId="14" fillId="2" borderId="25" xfId="0" applyFont="1" applyFill="1" applyBorder="1" applyAlignment="1">
      <alignment horizontal="left"/>
    </xf>
    <xf numFmtId="0" fontId="3" fillId="2" borderId="25" xfId="0" applyFont="1" applyFill="1" applyBorder="1" applyAlignment="1">
      <alignment vertical="top"/>
    </xf>
    <xf numFmtId="0" fontId="14" fillId="2" borderId="2" xfId="0" applyFont="1" applyFill="1" applyBorder="1" applyAlignment="1">
      <alignment vertical="center"/>
    </xf>
    <xf numFmtId="0" fontId="4" fillId="2" borderId="25" xfId="0" applyFont="1" applyFill="1" applyBorder="1" applyAlignment="1">
      <alignment vertical="top"/>
    </xf>
    <xf numFmtId="0" fontId="4" fillId="2" borderId="2" xfId="3" applyFont="1" applyFill="1" applyBorder="1" applyAlignment="1">
      <alignment vertical="top"/>
    </xf>
    <xf numFmtId="0" fontId="14" fillId="2" borderId="0" xfId="0" applyFont="1" applyFill="1"/>
    <xf numFmtId="0" fontId="4" fillId="2" borderId="0" xfId="3" applyFont="1" applyFill="1" applyBorder="1"/>
    <xf numFmtId="0" fontId="3" fillId="2" borderId="0" xfId="0" applyFont="1" applyFill="1" applyBorder="1"/>
    <xf numFmtId="0" fontId="3" fillId="2" borderId="26" xfId="0" applyFont="1" applyFill="1" applyBorder="1" applyAlignment="1"/>
    <xf numFmtId="0" fontId="5" fillId="3" borderId="27" xfId="0" applyNumberFormat="1" applyFont="1" applyFill="1" applyBorder="1" applyAlignment="1">
      <alignment horizontal="center"/>
    </xf>
    <xf numFmtId="0" fontId="5" fillId="3" borderId="28" xfId="0" applyNumberFormat="1" applyFont="1" applyFill="1" applyBorder="1" applyAlignment="1">
      <alignment horizontal="center"/>
    </xf>
    <xf numFmtId="0" fontId="5" fillId="3" borderId="28" xfId="0" applyNumberFormat="1" applyFont="1" applyFill="1" applyBorder="1" applyAlignment="1">
      <alignment horizontal="center" wrapText="1"/>
    </xf>
    <xf numFmtId="0" fontId="5" fillId="3" borderId="29" xfId="0" applyNumberFormat="1" applyFont="1" applyFill="1" applyBorder="1" applyAlignment="1">
      <alignment horizontal="center"/>
    </xf>
    <xf numFmtId="0" fontId="5" fillId="3" borderId="30" xfId="0" applyNumberFormat="1" applyFont="1" applyFill="1" applyBorder="1" applyAlignment="1">
      <alignment horizontal="center" wrapText="1"/>
    </xf>
    <xf numFmtId="0" fontId="3" fillId="2" borderId="26" xfId="0" applyFont="1" applyFill="1" applyBorder="1"/>
    <xf numFmtId="0" fontId="3" fillId="2" borderId="31" xfId="0" applyNumberFormat="1" applyFont="1" applyFill="1" applyBorder="1" applyAlignment="1">
      <alignment horizontal="center"/>
    </xf>
    <xf numFmtId="0" fontId="3" fillId="2" borderId="32" xfId="0" applyNumberFormat="1" applyFont="1" applyFill="1" applyBorder="1"/>
    <xf numFmtId="0" fontId="3" fillId="2" borderId="32" xfId="0" applyNumberFormat="1" applyFont="1" applyFill="1" applyBorder="1" applyAlignment="1">
      <alignment horizontal="center"/>
    </xf>
    <xf numFmtId="0" fontId="3" fillId="2" borderId="33" xfId="0" applyNumberFormat="1" applyFont="1" applyFill="1" applyBorder="1" applyAlignment="1">
      <alignment horizontal="center"/>
    </xf>
    <xf numFmtId="0" fontId="15" fillId="3" borderId="34" xfId="0" applyNumberFormat="1" applyFont="1" applyFill="1" applyBorder="1" applyAlignment="1">
      <alignment horizontal="center"/>
    </xf>
    <xf numFmtId="0" fontId="5" fillId="3" borderId="35" xfId="0" applyFont="1" applyFill="1" applyBorder="1"/>
    <xf numFmtId="0" fontId="15" fillId="3" borderId="35" xfId="0" applyFont="1" applyFill="1" applyBorder="1" applyAlignment="1">
      <alignment horizontal="center"/>
    </xf>
    <xf numFmtId="0" fontId="15" fillId="3" borderId="36" xfId="0" applyFont="1" applyFill="1" applyBorder="1" applyAlignment="1">
      <alignment horizontal="center"/>
    </xf>
    <xf numFmtId="0" fontId="3" fillId="2" borderId="0" xfId="0" applyFont="1" applyFill="1" applyBorder="1" applyAlignment="1">
      <alignment horizontal="center"/>
    </xf>
    <xf numFmtId="10" fontId="3" fillId="2" borderId="0" xfId="0" applyNumberFormat="1" applyFont="1" applyFill="1" applyBorder="1" applyAlignment="1">
      <alignment horizontal="center"/>
    </xf>
    <xf numFmtId="9" fontId="3" fillId="2" borderId="0" xfId="0" applyNumberFormat="1" applyFont="1" applyFill="1" applyBorder="1" applyAlignment="1">
      <alignment horizontal="center"/>
    </xf>
    <xf numFmtId="0" fontId="14" fillId="2" borderId="0" xfId="0" applyFont="1" applyFill="1" applyBorder="1" applyAlignment="1">
      <alignment horizontal="left"/>
    </xf>
    <xf numFmtId="2" fontId="16" fillId="2" borderId="0" xfId="0" applyNumberFormat="1" applyFont="1" applyFill="1" applyBorder="1" applyAlignment="1">
      <alignment horizontal="right" wrapText="1"/>
    </xf>
    <xf numFmtId="0" fontId="8" fillId="2" borderId="0" xfId="0" applyFont="1" applyFill="1" applyBorder="1" applyAlignment="1">
      <alignment horizontal="center" wrapText="1"/>
    </xf>
    <xf numFmtId="0" fontId="3" fillId="0" borderId="0" xfId="0" applyFont="1"/>
    <xf numFmtId="0" fontId="3" fillId="0" borderId="0" xfId="0" applyFont="1" applyAlignment="1">
      <alignment horizontal="left" indent="1"/>
    </xf>
    <xf numFmtId="0" fontId="3" fillId="0" borderId="0" xfId="0" applyFont="1" applyAlignment="1">
      <alignment vertical="top"/>
    </xf>
    <xf numFmtId="0" fontId="3" fillId="0" borderId="37" xfId="0" applyFont="1" applyBorder="1" applyAlignment="1">
      <alignment vertical="top"/>
    </xf>
    <xf numFmtId="0" fontId="3" fillId="0" borderId="35" xfId="0" applyFont="1" applyBorder="1" applyAlignment="1">
      <alignment vertical="top"/>
    </xf>
    <xf numFmtId="49" fontId="3" fillId="0" borderId="35" xfId="0" applyNumberFormat="1" applyFont="1" applyBorder="1" applyAlignment="1">
      <alignment vertical="top"/>
    </xf>
    <xf numFmtId="164" fontId="3" fillId="0" borderId="38" xfId="0" applyNumberFormat="1" applyFont="1" applyBorder="1" applyAlignment="1">
      <alignment vertical="top"/>
    </xf>
    <xf numFmtId="0" fontId="3" fillId="0" borderId="39" xfId="0" applyFont="1" applyBorder="1" applyAlignment="1">
      <alignment vertical="top"/>
    </xf>
    <xf numFmtId="0" fontId="3" fillId="0" borderId="32" xfId="0" applyFont="1" applyBorder="1" applyAlignment="1">
      <alignment vertical="top"/>
    </xf>
    <xf numFmtId="49" fontId="3" fillId="0" borderId="32" xfId="0" applyNumberFormat="1" applyFont="1" applyBorder="1" applyAlignment="1">
      <alignment vertical="top"/>
    </xf>
    <xf numFmtId="164" fontId="3" fillId="0" borderId="40" xfId="0" applyNumberFormat="1" applyFont="1" applyBorder="1" applyAlignment="1">
      <alignment vertical="top"/>
    </xf>
    <xf numFmtId="0" fontId="4" fillId="0" borderId="39" xfId="0" applyFont="1" applyBorder="1" applyAlignment="1">
      <alignment vertical="top" wrapText="1"/>
    </xf>
    <xf numFmtId="15" fontId="3" fillId="0" borderId="32" xfId="0" applyNumberFormat="1" applyFont="1" applyBorder="1" applyAlignment="1">
      <alignment vertical="top"/>
    </xf>
    <xf numFmtId="0" fontId="4" fillId="0" borderId="40" xfId="0" applyFont="1" applyBorder="1" applyAlignment="1">
      <alignment vertical="top" wrapText="1"/>
    </xf>
    <xf numFmtId="0" fontId="3" fillId="0" borderId="0" xfId="0" applyFont="1" applyAlignment="1">
      <alignment vertical="center"/>
    </xf>
    <xf numFmtId="0" fontId="5" fillId="3" borderId="41" xfId="0" applyFont="1" applyFill="1" applyBorder="1" applyAlignment="1">
      <alignment horizontal="center" vertical="center"/>
    </xf>
    <xf numFmtId="0" fontId="5" fillId="3" borderId="28" xfId="0" applyFont="1" applyFill="1" applyBorder="1" applyAlignment="1">
      <alignment horizontal="center" vertical="center"/>
    </xf>
    <xf numFmtId="164" fontId="5" fillId="3" borderId="42" xfId="0" applyNumberFormat="1" applyFont="1" applyFill="1" applyBorder="1" applyAlignment="1">
      <alignment horizontal="center" vertical="center"/>
    </xf>
    <xf numFmtId="0" fontId="14" fillId="0" borderId="0" xfId="0" applyFont="1" applyAlignment="1">
      <alignment horizontal="left"/>
    </xf>
    <xf numFmtId="0" fontId="3" fillId="0" borderId="0" xfId="0" applyFont="1" applyBorder="1"/>
    <xf numFmtId="0" fontId="3" fillId="0" borderId="0" xfId="0" applyFont="1" applyBorder="1" applyAlignment="1">
      <alignment horizontal="left" indent="1"/>
    </xf>
    <xf numFmtId="0" fontId="4" fillId="0" borderId="0" xfId="0" applyFont="1" applyBorder="1" applyAlignment="1">
      <alignment horizontal="left" indent="1"/>
    </xf>
    <xf numFmtId="0" fontId="14" fillId="2" borderId="0" xfId="0" applyFont="1" applyFill="1" applyBorder="1" applyAlignment="1">
      <alignment horizontal="left" indent="1"/>
    </xf>
    <xf numFmtId="0" fontId="3" fillId="0" borderId="0" xfId="0" applyFont="1" applyBorder="1" applyAlignment="1"/>
    <xf numFmtId="0" fontId="4" fillId="0" borderId="0" xfId="0" applyFont="1" applyBorder="1" applyAlignment="1">
      <alignment horizontal="left"/>
    </xf>
    <xf numFmtId="0" fontId="14" fillId="2" borderId="0" xfId="0" applyFont="1" applyFill="1" applyBorder="1"/>
    <xf numFmtId="0" fontId="4" fillId="0" borderId="25" xfId="0" applyFont="1" applyBorder="1" applyAlignment="1">
      <alignment horizontal="left" indent="1"/>
    </xf>
    <xf numFmtId="0" fontId="14" fillId="2" borderId="2" xfId="0" applyFont="1" applyFill="1" applyBorder="1" applyAlignment="1">
      <alignment horizontal="left"/>
    </xf>
    <xf numFmtId="0" fontId="4" fillId="0" borderId="2" xfId="0" applyFont="1" applyBorder="1" applyAlignment="1">
      <alignment horizontal="left" vertical="center"/>
    </xf>
    <xf numFmtId="0" fontId="14" fillId="2" borderId="2" xfId="0" applyFont="1" applyFill="1" applyBorder="1" applyAlignment="1">
      <alignment horizontal="left" vertical="center"/>
    </xf>
    <xf numFmtId="0" fontId="3" fillId="0" borderId="25" xfId="0" applyFont="1" applyBorder="1" applyAlignment="1"/>
    <xf numFmtId="0" fontId="4" fillId="0" borderId="2" xfId="0" applyFont="1" applyBorder="1" applyAlignment="1">
      <alignment horizontal="left"/>
    </xf>
    <xf numFmtId="0" fontId="4" fillId="0" borderId="0" xfId="0" applyFont="1" applyAlignment="1">
      <alignment horizontal="left" indent="1"/>
    </xf>
    <xf numFmtId="0" fontId="14" fillId="2" borderId="0" xfId="0" applyFont="1" applyFill="1" applyAlignment="1">
      <alignment horizontal="left" indent="1"/>
    </xf>
    <xf numFmtId="0" fontId="3" fillId="0" borderId="0" xfId="0" applyFont="1" applyAlignment="1">
      <alignment horizontal="center" vertical="center"/>
    </xf>
    <xf numFmtId="0" fontId="13" fillId="0" borderId="2" xfId="0" applyFont="1" applyBorder="1" applyAlignment="1">
      <alignment horizontal="center" vertical="center"/>
    </xf>
    <xf numFmtId="0" fontId="17" fillId="0" borderId="1" xfId="0" applyFont="1" applyBorder="1" applyAlignment="1">
      <alignment horizontal="center" vertical="center"/>
    </xf>
    <xf numFmtId="0" fontId="18" fillId="2" borderId="0" xfId="0" applyFont="1" applyFill="1" applyAlignment="1">
      <alignment horizontal="center" vertical="center"/>
    </xf>
    <xf numFmtId="1" fontId="3" fillId="2" borderId="0" xfId="0" applyNumberFormat="1" applyFont="1" applyFill="1" applyProtection="1">
      <protection hidden="1"/>
    </xf>
    <xf numFmtId="0" fontId="3" fillId="2" borderId="0" xfId="0" applyFont="1" applyFill="1" applyAlignment="1">
      <alignment horizontal="left"/>
    </xf>
    <xf numFmtId="0" fontId="13" fillId="2" borderId="0" xfId="0" applyFont="1" applyFill="1" applyAlignment="1">
      <alignment horizontal="left"/>
    </xf>
    <xf numFmtId="0" fontId="6" fillId="2" borderId="0" xfId="0" applyFont="1" applyFill="1" applyAlignment="1">
      <alignment horizontal="left"/>
    </xf>
    <xf numFmtId="0" fontId="21" fillId="2" borderId="0" xfId="0" applyFont="1" applyFill="1" applyAlignment="1">
      <alignment horizontal="left"/>
    </xf>
    <xf numFmtId="1" fontId="14" fillId="2" borderId="1" xfId="0" applyNumberFormat="1" applyFont="1" applyFill="1" applyBorder="1" applyAlignment="1"/>
    <xf numFmtId="0" fontId="3" fillId="2" borderId="0" xfId="0" applyFont="1" applyFill="1" applyAlignment="1">
      <alignment wrapText="1"/>
    </xf>
    <xf numFmtId="1" fontId="14" fillId="2" borderId="2" xfId="0" applyNumberFormat="1" applyFont="1" applyFill="1" applyBorder="1" applyAlignment="1">
      <alignment vertical="center" wrapText="1"/>
    </xf>
    <xf numFmtId="0" fontId="4" fillId="2" borderId="2" xfId="0" applyFont="1" applyFill="1" applyBorder="1" applyAlignment="1">
      <alignment vertical="top" wrapText="1"/>
    </xf>
    <xf numFmtId="1" fontId="14" fillId="2" borderId="0" xfId="0" applyNumberFormat="1" applyFont="1" applyFill="1" applyBorder="1" applyAlignment="1"/>
    <xf numFmtId="0" fontId="3" fillId="2" borderId="0" xfId="0" applyFont="1" applyFill="1" applyBorder="1" applyAlignment="1"/>
    <xf numFmtId="1" fontId="3" fillId="2" borderId="0" xfId="0" applyNumberFormat="1" applyFont="1" applyFill="1" applyAlignment="1" applyProtection="1">
      <alignment vertical="center"/>
      <protection hidden="1"/>
    </xf>
    <xf numFmtId="0" fontId="3" fillId="2" borderId="0" xfId="0" applyFont="1" applyFill="1" applyAlignment="1">
      <alignment horizontal="left" vertical="center"/>
    </xf>
    <xf numFmtId="0" fontId="7" fillId="2" borderId="0" xfId="0" applyFont="1" applyFill="1" applyAlignment="1">
      <alignment horizontal="center"/>
    </xf>
    <xf numFmtId="1" fontId="5" fillId="4" borderId="42" xfId="0" applyNumberFormat="1" applyFont="1" applyFill="1" applyBorder="1" applyAlignment="1">
      <alignment horizontal="center" vertical="center"/>
    </xf>
    <xf numFmtId="0" fontId="5" fillId="4" borderId="2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41" xfId="0" applyFont="1" applyFill="1" applyBorder="1" applyAlignment="1">
      <alignment horizontal="center" vertical="center"/>
    </xf>
    <xf numFmtId="0" fontId="22" fillId="0" borderId="43" xfId="0" applyFont="1" applyBorder="1" applyAlignment="1">
      <alignment vertical="center" wrapText="1" readingOrder="1"/>
    </xf>
    <xf numFmtId="0" fontId="23" fillId="0" borderId="43" xfId="0" applyFont="1" applyBorder="1" applyAlignment="1">
      <alignment vertical="center" wrapText="1" readingOrder="1"/>
    </xf>
    <xf numFmtId="1" fontId="3" fillId="2" borderId="40" xfId="0" applyNumberFormat="1" applyFont="1" applyFill="1" applyBorder="1" applyAlignment="1">
      <alignment vertical="center"/>
    </xf>
    <xf numFmtId="49" fontId="3" fillId="2" borderId="32" xfId="0" applyNumberFormat="1" applyFont="1" applyFill="1" applyBorder="1" applyAlignment="1">
      <alignment horizontal="left" vertical="center"/>
    </xf>
    <xf numFmtId="0" fontId="3" fillId="2" borderId="32" xfId="0" applyFont="1" applyFill="1" applyBorder="1" applyAlignment="1">
      <alignment horizontal="left" vertical="center"/>
    </xf>
    <xf numFmtId="0" fontId="3" fillId="2" borderId="39" xfId="0" applyFont="1" applyFill="1" applyBorder="1" applyAlignment="1">
      <alignment horizontal="left" vertical="center"/>
    </xf>
    <xf numFmtId="1" fontId="3" fillId="2" borderId="38" xfId="0" applyNumberFormat="1" applyFont="1" applyFill="1" applyBorder="1" applyAlignment="1">
      <alignment vertical="center"/>
    </xf>
    <xf numFmtId="49" fontId="3" fillId="2" borderId="35" xfId="0" applyNumberFormat="1" applyFont="1" applyFill="1" applyBorder="1" applyAlignment="1">
      <alignment horizontal="left" vertical="center"/>
    </xf>
    <xf numFmtId="0" fontId="3" fillId="2" borderId="35" xfId="0" applyFont="1" applyFill="1" applyBorder="1" applyAlignment="1">
      <alignment horizontal="left" vertical="center"/>
    </xf>
    <xf numFmtId="0" fontId="3" fillId="2" borderId="37" xfId="0" applyFont="1" applyFill="1" applyBorder="1" applyAlignment="1">
      <alignment horizontal="left" vertical="center"/>
    </xf>
    <xf numFmtId="1" fontId="3" fillId="2" borderId="0" xfId="0" applyNumberFormat="1" applyFont="1" applyFill="1"/>
  </cellXfs>
  <cellStyles count="4">
    <cellStyle name="Normal" xfId="0" builtinId="0"/>
    <cellStyle name="Normal_Functional Test Case v1.0" xfId="3"/>
    <cellStyle name="Normal_Sheet1" xfId="1"/>
    <cellStyle name="標準_結合試験(AllOvertheWorld)" xfId="2"/>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mpability_test_c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est case List"/>
      <sheetName val="Test Data"/>
      <sheetName val="Module1"/>
      <sheetName val="Module2"/>
      <sheetName val="Test Repor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G18"/>
  <sheetViews>
    <sheetView workbookViewId="0">
      <selection sqref="A1:XFD1048576"/>
    </sheetView>
  </sheetViews>
  <sheetFormatPr defaultRowHeight="12.75"/>
  <cols>
    <col min="1" max="1" width="2.25" style="95" customWidth="1"/>
    <col min="2" max="2" width="19.625" style="96" customWidth="1"/>
    <col min="3" max="3" width="9.25" style="95" customWidth="1"/>
    <col min="4" max="4" width="14.5" style="95" customWidth="1"/>
    <col min="5" max="5" width="8" style="95" customWidth="1"/>
    <col min="6" max="6" width="31.125" style="95" customWidth="1"/>
    <col min="7" max="7" width="31" style="95" customWidth="1"/>
    <col min="8" max="16384" width="9" style="95"/>
  </cols>
  <sheetData>
    <row r="2" spans="1:7" s="129" customFormat="1" ht="75.75" customHeight="1">
      <c r="A2" s="132"/>
      <c r="B2" s="131"/>
      <c r="C2" s="130" t="s">
        <v>210</v>
      </c>
      <c r="D2" s="130"/>
      <c r="E2" s="130"/>
      <c r="F2" s="130"/>
      <c r="G2" s="130"/>
    </row>
    <row r="3" spans="1:7">
      <c r="B3" s="128"/>
      <c r="C3" s="127"/>
      <c r="F3" s="1"/>
    </row>
    <row r="4" spans="1:7" ht="14.25" customHeight="1">
      <c r="B4" s="122" t="s">
        <v>180</v>
      </c>
      <c r="C4" s="126" t="s">
        <v>181</v>
      </c>
      <c r="D4" s="126"/>
      <c r="E4" s="126"/>
      <c r="F4" s="122" t="s">
        <v>182</v>
      </c>
      <c r="G4" s="125"/>
    </row>
    <row r="5" spans="1:7" ht="14.25" customHeight="1">
      <c r="B5" s="122" t="s">
        <v>183</v>
      </c>
      <c r="C5" s="126" t="s">
        <v>184</v>
      </c>
      <c r="D5" s="126"/>
      <c r="E5" s="126"/>
      <c r="F5" s="122" t="s">
        <v>185</v>
      </c>
      <c r="G5" s="125"/>
    </row>
    <row r="6" spans="1:7" ht="15.75" customHeight="1">
      <c r="B6" s="124" t="s">
        <v>186</v>
      </c>
      <c r="C6" s="123" t="str">
        <f>C5&amp;"_"&amp;"XXX"&amp;"_"&amp;"vx.x"</f>
        <v>&lt;Project Code&gt;_XXX_vx.x</v>
      </c>
      <c r="D6" s="123"/>
      <c r="E6" s="123"/>
      <c r="F6" s="122" t="s">
        <v>187</v>
      </c>
      <c r="G6" s="121"/>
    </row>
    <row r="7" spans="1:7" ht="13.5" customHeight="1">
      <c r="B7" s="124"/>
      <c r="C7" s="123"/>
      <c r="D7" s="123"/>
      <c r="E7" s="123"/>
      <c r="F7" s="122" t="s">
        <v>207</v>
      </c>
      <c r="G7" s="121"/>
    </row>
    <row r="8" spans="1:7">
      <c r="B8" s="120"/>
      <c r="C8" s="119"/>
      <c r="D8" s="118"/>
      <c r="E8" s="118"/>
      <c r="F8" s="117"/>
      <c r="G8" s="116"/>
    </row>
    <row r="9" spans="1:7">
      <c r="B9" s="115"/>
      <c r="C9" s="114"/>
      <c r="D9" s="114"/>
      <c r="E9" s="114"/>
      <c r="F9" s="114"/>
    </row>
    <row r="10" spans="1:7">
      <c r="B10" s="113" t="s">
        <v>209</v>
      </c>
    </row>
    <row r="11" spans="1:7" s="109" customFormat="1">
      <c r="B11" s="112" t="s">
        <v>208</v>
      </c>
      <c r="C11" s="111" t="s">
        <v>207</v>
      </c>
      <c r="D11" s="111" t="s">
        <v>206</v>
      </c>
      <c r="E11" s="111" t="s">
        <v>205</v>
      </c>
      <c r="F11" s="111" t="s">
        <v>204</v>
      </c>
      <c r="G11" s="110" t="s">
        <v>203</v>
      </c>
    </row>
    <row r="12" spans="1:7" s="97" customFormat="1" ht="25.5">
      <c r="B12" s="108" t="s">
        <v>202</v>
      </c>
      <c r="C12" s="104"/>
      <c r="D12" s="103"/>
      <c r="E12" s="103"/>
      <c r="F12" s="107"/>
      <c r="G12" s="106" t="s">
        <v>201</v>
      </c>
    </row>
    <row r="13" spans="1:7" s="97" customFormat="1" ht="21.75" customHeight="1">
      <c r="B13" s="105"/>
      <c r="C13" s="104"/>
      <c r="D13" s="103"/>
      <c r="E13" s="103"/>
      <c r="F13" s="103"/>
      <c r="G13" s="102"/>
    </row>
    <row r="14" spans="1:7" s="97" customFormat="1" ht="19.5" customHeight="1">
      <c r="B14" s="105"/>
      <c r="C14" s="104"/>
      <c r="D14" s="103"/>
      <c r="E14" s="103"/>
      <c r="F14" s="103"/>
      <c r="G14" s="102"/>
    </row>
    <row r="15" spans="1:7" s="97" customFormat="1" ht="21.75" customHeight="1">
      <c r="B15" s="105"/>
      <c r="C15" s="104"/>
      <c r="D15" s="103"/>
      <c r="E15" s="103"/>
      <c r="F15" s="103"/>
      <c r="G15" s="102"/>
    </row>
    <row r="16" spans="1:7" s="97" customFormat="1" ht="19.5" customHeight="1">
      <c r="B16" s="105"/>
      <c r="C16" s="104"/>
      <c r="D16" s="103"/>
      <c r="E16" s="103"/>
      <c r="F16" s="103"/>
      <c r="G16" s="102"/>
    </row>
    <row r="17" spans="2:7" s="97" customFormat="1" ht="21.75" customHeight="1">
      <c r="B17" s="105"/>
      <c r="C17" s="104"/>
      <c r="D17" s="103"/>
      <c r="E17" s="103"/>
      <c r="F17" s="103"/>
      <c r="G17" s="102"/>
    </row>
    <row r="18" spans="2:7" s="97" customFormat="1" ht="19.5" customHeight="1">
      <c r="B18" s="101"/>
      <c r="C18" s="100"/>
      <c r="D18" s="99"/>
      <c r="E18" s="99"/>
      <c r="F18" s="99"/>
      <c r="G18" s="98"/>
    </row>
  </sheetData>
  <mergeCells count="5">
    <mergeCell ref="C2:G2"/>
    <mergeCell ref="C4:E4"/>
    <mergeCell ref="C5:E5"/>
    <mergeCell ref="B6:B7"/>
    <mergeCell ref="C6:E7"/>
  </mergeCells>
  <pageMargins left="0.47013888888888888" right="0.47013888888888888" top="0.5" bottom="0.35138888888888886" header="0.51180555555555562" footer="0.1701388888888889"/>
  <pageSetup paperSize="9" firstPageNumber="0" orientation="landscape" horizontalDpi="300" verticalDpi="300" r:id="rId1"/>
  <headerFooter alignWithMargins="0">
    <oddFooter>&amp;L&amp;"Tahoma,Regular"&amp;8 02ae-BM/PM/HDCV/FSOFT v2/0&amp;C&amp;"Tahoma,Regular"&amp;8Internal use&amp;R&amp;"tahomaTahoma,Regular"&amp;8&amp;P/&amp;N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8"/>
  <sheetViews>
    <sheetView topLeftCell="A5" workbookViewId="0">
      <selection activeCell="B9" sqref="B9:F9"/>
    </sheetView>
  </sheetViews>
  <sheetFormatPr defaultRowHeight="12.75"/>
  <cols>
    <col min="1" max="1" width="1.375" style="1" customWidth="1"/>
    <col min="2" max="2" width="11.75" style="161" customWidth="1"/>
    <col min="3" max="3" width="26.5" style="134" customWidth="1"/>
    <col min="4" max="4" width="17.125" style="134" customWidth="1"/>
    <col min="5" max="5" width="28.125" style="134" customWidth="1"/>
    <col min="6" max="6" width="30.625" style="134" customWidth="1"/>
    <col min="7" max="256" width="9" style="1"/>
    <col min="257" max="257" width="1.375" style="1" customWidth="1"/>
    <col min="258" max="258" width="11.75" style="1" customWidth="1"/>
    <col min="259" max="259" width="26.5" style="1" customWidth="1"/>
    <col min="260" max="260" width="17.125" style="1" customWidth="1"/>
    <col min="261" max="261" width="28.125" style="1" customWidth="1"/>
    <col min="262" max="262" width="30.625" style="1" customWidth="1"/>
    <col min="263" max="512" width="9" style="1"/>
    <col min="513" max="513" width="1.375" style="1" customWidth="1"/>
    <col min="514" max="514" width="11.75" style="1" customWidth="1"/>
    <col min="515" max="515" width="26.5" style="1" customWidth="1"/>
    <col min="516" max="516" width="17.125" style="1" customWidth="1"/>
    <col min="517" max="517" width="28.125" style="1" customWidth="1"/>
    <col min="518" max="518" width="30.625" style="1" customWidth="1"/>
    <col min="519" max="768" width="9" style="1"/>
    <col min="769" max="769" width="1.375" style="1" customWidth="1"/>
    <col min="770" max="770" width="11.75" style="1" customWidth="1"/>
    <col min="771" max="771" width="26.5" style="1" customWidth="1"/>
    <col min="772" max="772" width="17.125" style="1" customWidth="1"/>
    <col min="773" max="773" width="28.125" style="1" customWidth="1"/>
    <col min="774" max="774" width="30.625" style="1" customWidth="1"/>
    <col min="775" max="1024" width="9" style="1"/>
    <col min="1025" max="1025" width="1.375" style="1" customWidth="1"/>
    <col min="1026" max="1026" width="11.75" style="1" customWidth="1"/>
    <col min="1027" max="1027" width="26.5" style="1" customWidth="1"/>
    <col min="1028" max="1028" width="17.125" style="1" customWidth="1"/>
    <col min="1029" max="1029" width="28.125" style="1" customWidth="1"/>
    <col min="1030" max="1030" width="30.625" style="1" customWidth="1"/>
    <col min="1031" max="1280" width="9" style="1"/>
    <col min="1281" max="1281" width="1.375" style="1" customWidth="1"/>
    <col min="1282" max="1282" width="11.75" style="1" customWidth="1"/>
    <col min="1283" max="1283" width="26.5" style="1" customWidth="1"/>
    <col min="1284" max="1284" width="17.125" style="1" customWidth="1"/>
    <col min="1285" max="1285" width="28.125" style="1" customWidth="1"/>
    <col min="1286" max="1286" width="30.625" style="1" customWidth="1"/>
    <col min="1287" max="1536" width="9" style="1"/>
    <col min="1537" max="1537" width="1.375" style="1" customWidth="1"/>
    <col min="1538" max="1538" width="11.75" style="1" customWidth="1"/>
    <col min="1539" max="1539" width="26.5" style="1" customWidth="1"/>
    <col min="1540" max="1540" width="17.125" style="1" customWidth="1"/>
    <col min="1541" max="1541" width="28.125" style="1" customWidth="1"/>
    <col min="1542" max="1542" width="30.625" style="1" customWidth="1"/>
    <col min="1543" max="1792" width="9" style="1"/>
    <col min="1793" max="1793" width="1.375" style="1" customWidth="1"/>
    <col min="1794" max="1794" width="11.75" style="1" customWidth="1"/>
    <col min="1795" max="1795" width="26.5" style="1" customWidth="1"/>
    <col min="1796" max="1796" width="17.125" style="1" customWidth="1"/>
    <col min="1797" max="1797" width="28.125" style="1" customWidth="1"/>
    <col min="1798" max="1798" width="30.625" style="1" customWidth="1"/>
    <col min="1799" max="2048" width="9" style="1"/>
    <col min="2049" max="2049" width="1.375" style="1" customWidth="1"/>
    <col min="2050" max="2050" width="11.75" style="1" customWidth="1"/>
    <col min="2051" max="2051" width="26.5" style="1" customWidth="1"/>
    <col min="2052" max="2052" width="17.125" style="1" customWidth="1"/>
    <col min="2053" max="2053" width="28.125" style="1" customWidth="1"/>
    <col min="2054" max="2054" width="30.625" style="1" customWidth="1"/>
    <col min="2055" max="2304" width="9" style="1"/>
    <col min="2305" max="2305" width="1.375" style="1" customWidth="1"/>
    <col min="2306" max="2306" width="11.75" style="1" customWidth="1"/>
    <col min="2307" max="2307" width="26.5" style="1" customWidth="1"/>
    <col min="2308" max="2308" width="17.125" style="1" customWidth="1"/>
    <col min="2309" max="2309" width="28.125" style="1" customWidth="1"/>
    <col min="2310" max="2310" width="30.625" style="1" customWidth="1"/>
    <col min="2311" max="2560" width="9" style="1"/>
    <col min="2561" max="2561" width="1.375" style="1" customWidth="1"/>
    <col min="2562" max="2562" width="11.75" style="1" customWidth="1"/>
    <col min="2563" max="2563" width="26.5" style="1" customWidth="1"/>
    <col min="2564" max="2564" width="17.125" style="1" customWidth="1"/>
    <col min="2565" max="2565" width="28.125" style="1" customWidth="1"/>
    <col min="2566" max="2566" width="30.625" style="1" customWidth="1"/>
    <col min="2567" max="2816" width="9" style="1"/>
    <col min="2817" max="2817" width="1.375" style="1" customWidth="1"/>
    <col min="2818" max="2818" width="11.75" style="1" customWidth="1"/>
    <col min="2819" max="2819" width="26.5" style="1" customWidth="1"/>
    <col min="2820" max="2820" width="17.125" style="1" customWidth="1"/>
    <col min="2821" max="2821" width="28.125" style="1" customWidth="1"/>
    <col min="2822" max="2822" width="30.625" style="1" customWidth="1"/>
    <col min="2823" max="3072" width="9" style="1"/>
    <col min="3073" max="3073" width="1.375" style="1" customWidth="1"/>
    <col min="3074" max="3074" width="11.75" style="1" customWidth="1"/>
    <col min="3075" max="3075" width="26.5" style="1" customWidth="1"/>
    <col min="3076" max="3076" width="17.125" style="1" customWidth="1"/>
    <col min="3077" max="3077" width="28.125" style="1" customWidth="1"/>
    <col min="3078" max="3078" width="30.625" style="1" customWidth="1"/>
    <col min="3079" max="3328" width="9" style="1"/>
    <col min="3329" max="3329" width="1.375" style="1" customWidth="1"/>
    <col min="3330" max="3330" width="11.75" style="1" customWidth="1"/>
    <col min="3331" max="3331" width="26.5" style="1" customWidth="1"/>
    <col min="3332" max="3332" width="17.125" style="1" customWidth="1"/>
    <col min="3333" max="3333" width="28.125" style="1" customWidth="1"/>
    <col min="3334" max="3334" width="30.625" style="1" customWidth="1"/>
    <col min="3335" max="3584" width="9" style="1"/>
    <col min="3585" max="3585" width="1.375" style="1" customWidth="1"/>
    <col min="3586" max="3586" width="11.75" style="1" customWidth="1"/>
    <col min="3587" max="3587" width="26.5" style="1" customWidth="1"/>
    <col min="3588" max="3588" width="17.125" style="1" customWidth="1"/>
    <col min="3589" max="3589" width="28.125" style="1" customWidth="1"/>
    <col min="3590" max="3590" width="30.625" style="1" customWidth="1"/>
    <col min="3591" max="3840" width="9" style="1"/>
    <col min="3841" max="3841" width="1.375" style="1" customWidth="1"/>
    <col min="3842" max="3842" width="11.75" style="1" customWidth="1"/>
    <col min="3843" max="3843" width="26.5" style="1" customWidth="1"/>
    <col min="3844" max="3844" width="17.125" style="1" customWidth="1"/>
    <col min="3845" max="3845" width="28.125" style="1" customWidth="1"/>
    <col min="3846" max="3846" width="30.625" style="1" customWidth="1"/>
    <col min="3847" max="4096" width="9" style="1"/>
    <col min="4097" max="4097" width="1.375" style="1" customWidth="1"/>
    <col min="4098" max="4098" width="11.75" style="1" customWidth="1"/>
    <col min="4099" max="4099" width="26.5" style="1" customWidth="1"/>
    <col min="4100" max="4100" width="17.125" style="1" customWidth="1"/>
    <col min="4101" max="4101" width="28.125" style="1" customWidth="1"/>
    <col min="4102" max="4102" width="30.625" style="1" customWidth="1"/>
    <col min="4103" max="4352" width="9" style="1"/>
    <col min="4353" max="4353" width="1.375" style="1" customWidth="1"/>
    <col min="4354" max="4354" width="11.75" style="1" customWidth="1"/>
    <col min="4355" max="4355" width="26.5" style="1" customWidth="1"/>
    <col min="4356" max="4356" width="17.125" style="1" customWidth="1"/>
    <col min="4357" max="4357" width="28.125" style="1" customWidth="1"/>
    <col min="4358" max="4358" width="30.625" style="1" customWidth="1"/>
    <col min="4359" max="4608" width="9" style="1"/>
    <col min="4609" max="4609" width="1.375" style="1" customWidth="1"/>
    <col min="4610" max="4610" width="11.75" style="1" customWidth="1"/>
    <col min="4611" max="4611" width="26.5" style="1" customWidth="1"/>
    <col min="4612" max="4612" width="17.125" style="1" customWidth="1"/>
    <col min="4613" max="4613" width="28.125" style="1" customWidth="1"/>
    <col min="4614" max="4614" width="30.625" style="1" customWidth="1"/>
    <col min="4615" max="4864" width="9" style="1"/>
    <col min="4865" max="4865" width="1.375" style="1" customWidth="1"/>
    <col min="4866" max="4866" width="11.75" style="1" customWidth="1"/>
    <col min="4867" max="4867" width="26.5" style="1" customWidth="1"/>
    <col min="4868" max="4868" width="17.125" style="1" customWidth="1"/>
    <col min="4869" max="4869" width="28.125" style="1" customWidth="1"/>
    <col min="4870" max="4870" width="30.625" style="1" customWidth="1"/>
    <col min="4871" max="5120" width="9" style="1"/>
    <col min="5121" max="5121" width="1.375" style="1" customWidth="1"/>
    <col min="5122" max="5122" width="11.75" style="1" customWidth="1"/>
    <col min="5123" max="5123" width="26.5" style="1" customWidth="1"/>
    <col min="5124" max="5124" width="17.125" style="1" customWidth="1"/>
    <col min="5125" max="5125" width="28.125" style="1" customWidth="1"/>
    <col min="5126" max="5126" width="30.625" style="1" customWidth="1"/>
    <col min="5127" max="5376" width="9" style="1"/>
    <col min="5377" max="5377" width="1.375" style="1" customWidth="1"/>
    <col min="5378" max="5378" width="11.75" style="1" customWidth="1"/>
    <col min="5379" max="5379" width="26.5" style="1" customWidth="1"/>
    <col min="5380" max="5380" width="17.125" style="1" customWidth="1"/>
    <col min="5381" max="5381" width="28.125" style="1" customWidth="1"/>
    <col min="5382" max="5382" width="30.625" style="1" customWidth="1"/>
    <col min="5383" max="5632" width="9" style="1"/>
    <col min="5633" max="5633" width="1.375" style="1" customWidth="1"/>
    <col min="5634" max="5634" width="11.75" style="1" customWidth="1"/>
    <col min="5635" max="5635" width="26.5" style="1" customWidth="1"/>
    <col min="5636" max="5636" width="17.125" style="1" customWidth="1"/>
    <col min="5637" max="5637" width="28.125" style="1" customWidth="1"/>
    <col min="5638" max="5638" width="30.625" style="1" customWidth="1"/>
    <col min="5639" max="5888" width="9" style="1"/>
    <col min="5889" max="5889" width="1.375" style="1" customWidth="1"/>
    <col min="5890" max="5890" width="11.75" style="1" customWidth="1"/>
    <col min="5891" max="5891" width="26.5" style="1" customWidth="1"/>
    <col min="5892" max="5892" width="17.125" style="1" customWidth="1"/>
    <col min="5893" max="5893" width="28.125" style="1" customWidth="1"/>
    <col min="5894" max="5894" width="30.625" style="1" customWidth="1"/>
    <col min="5895" max="6144" width="9" style="1"/>
    <col min="6145" max="6145" width="1.375" style="1" customWidth="1"/>
    <col min="6146" max="6146" width="11.75" style="1" customWidth="1"/>
    <col min="6147" max="6147" width="26.5" style="1" customWidth="1"/>
    <col min="6148" max="6148" width="17.125" style="1" customWidth="1"/>
    <col min="6149" max="6149" width="28.125" style="1" customWidth="1"/>
    <col min="6150" max="6150" width="30.625" style="1" customWidth="1"/>
    <col min="6151" max="6400" width="9" style="1"/>
    <col min="6401" max="6401" width="1.375" style="1" customWidth="1"/>
    <col min="6402" max="6402" width="11.75" style="1" customWidth="1"/>
    <col min="6403" max="6403" width="26.5" style="1" customWidth="1"/>
    <col min="6404" max="6404" width="17.125" style="1" customWidth="1"/>
    <col min="6405" max="6405" width="28.125" style="1" customWidth="1"/>
    <col min="6406" max="6406" width="30.625" style="1" customWidth="1"/>
    <col min="6407" max="6656" width="9" style="1"/>
    <col min="6657" max="6657" width="1.375" style="1" customWidth="1"/>
    <col min="6658" max="6658" width="11.75" style="1" customWidth="1"/>
    <col min="6659" max="6659" width="26.5" style="1" customWidth="1"/>
    <col min="6660" max="6660" width="17.125" style="1" customWidth="1"/>
    <col min="6661" max="6661" width="28.125" style="1" customWidth="1"/>
    <col min="6662" max="6662" width="30.625" style="1" customWidth="1"/>
    <col min="6663" max="6912" width="9" style="1"/>
    <col min="6913" max="6913" width="1.375" style="1" customWidth="1"/>
    <col min="6914" max="6914" width="11.75" style="1" customWidth="1"/>
    <col min="6915" max="6915" width="26.5" style="1" customWidth="1"/>
    <col min="6916" max="6916" width="17.125" style="1" customWidth="1"/>
    <col min="6917" max="6917" width="28.125" style="1" customWidth="1"/>
    <col min="6918" max="6918" width="30.625" style="1" customWidth="1"/>
    <col min="6919" max="7168" width="9" style="1"/>
    <col min="7169" max="7169" width="1.375" style="1" customWidth="1"/>
    <col min="7170" max="7170" width="11.75" style="1" customWidth="1"/>
    <col min="7171" max="7171" width="26.5" style="1" customWidth="1"/>
    <col min="7172" max="7172" width="17.125" style="1" customWidth="1"/>
    <col min="7173" max="7173" width="28.125" style="1" customWidth="1"/>
    <col min="7174" max="7174" width="30.625" style="1" customWidth="1"/>
    <col min="7175" max="7424" width="9" style="1"/>
    <col min="7425" max="7425" width="1.375" style="1" customWidth="1"/>
    <col min="7426" max="7426" width="11.75" style="1" customWidth="1"/>
    <col min="7427" max="7427" width="26.5" style="1" customWidth="1"/>
    <col min="7428" max="7428" width="17.125" style="1" customWidth="1"/>
    <col min="7429" max="7429" width="28.125" style="1" customWidth="1"/>
    <col min="7430" max="7430" width="30.625" style="1" customWidth="1"/>
    <col min="7431" max="7680" width="9" style="1"/>
    <col min="7681" max="7681" width="1.375" style="1" customWidth="1"/>
    <col min="7682" max="7682" width="11.75" style="1" customWidth="1"/>
    <col min="7683" max="7683" width="26.5" style="1" customWidth="1"/>
    <col min="7684" max="7684" width="17.125" style="1" customWidth="1"/>
    <col min="7685" max="7685" width="28.125" style="1" customWidth="1"/>
    <col min="7686" max="7686" width="30.625" style="1" customWidth="1"/>
    <col min="7687" max="7936" width="9" style="1"/>
    <col min="7937" max="7937" width="1.375" style="1" customWidth="1"/>
    <col min="7938" max="7938" width="11.75" style="1" customWidth="1"/>
    <col min="7939" max="7939" width="26.5" style="1" customWidth="1"/>
    <col min="7940" max="7940" width="17.125" style="1" customWidth="1"/>
    <col min="7941" max="7941" width="28.125" style="1" customWidth="1"/>
    <col min="7942" max="7942" width="30.625" style="1" customWidth="1"/>
    <col min="7943" max="8192" width="9" style="1"/>
    <col min="8193" max="8193" width="1.375" style="1" customWidth="1"/>
    <col min="8194" max="8194" width="11.75" style="1" customWidth="1"/>
    <col min="8195" max="8195" width="26.5" style="1" customWidth="1"/>
    <col min="8196" max="8196" width="17.125" style="1" customWidth="1"/>
    <col min="8197" max="8197" width="28.125" style="1" customWidth="1"/>
    <col min="8198" max="8198" width="30.625" style="1" customWidth="1"/>
    <col min="8199" max="8448" width="9" style="1"/>
    <col min="8449" max="8449" width="1.375" style="1" customWidth="1"/>
    <col min="8450" max="8450" width="11.75" style="1" customWidth="1"/>
    <col min="8451" max="8451" width="26.5" style="1" customWidth="1"/>
    <col min="8452" max="8452" width="17.125" style="1" customWidth="1"/>
    <col min="8453" max="8453" width="28.125" style="1" customWidth="1"/>
    <col min="8454" max="8454" width="30.625" style="1" customWidth="1"/>
    <col min="8455" max="8704" width="9" style="1"/>
    <col min="8705" max="8705" width="1.375" style="1" customWidth="1"/>
    <col min="8706" max="8706" width="11.75" style="1" customWidth="1"/>
    <col min="8707" max="8707" width="26.5" style="1" customWidth="1"/>
    <col min="8708" max="8708" width="17.125" style="1" customWidth="1"/>
    <col min="8709" max="8709" width="28.125" style="1" customWidth="1"/>
    <col min="8710" max="8710" width="30.625" style="1" customWidth="1"/>
    <col min="8711" max="8960" width="9" style="1"/>
    <col min="8961" max="8961" width="1.375" style="1" customWidth="1"/>
    <col min="8962" max="8962" width="11.75" style="1" customWidth="1"/>
    <col min="8963" max="8963" width="26.5" style="1" customWidth="1"/>
    <col min="8964" max="8964" width="17.125" style="1" customWidth="1"/>
    <col min="8965" max="8965" width="28.125" style="1" customWidth="1"/>
    <col min="8966" max="8966" width="30.625" style="1" customWidth="1"/>
    <col min="8967" max="9216" width="9" style="1"/>
    <col min="9217" max="9217" width="1.375" style="1" customWidth="1"/>
    <col min="9218" max="9218" width="11.75" style="1" customWidth="1"/>
    <col min="9219" max="9219" width="26.5" style="1" customWidth="1"/>
    <col min="9220" max="9220" width="17.125" style="1" customWidth="1"/>
    <col min="9221" max="9221" width="28.125" style="1" customWidth="1"/>
    <col min="9222" max="9222" width="30.625" style="1" customWidth="1"/>
    <col min="9223" max="9472" width="9" style="1"/>
    <col min="9473" max="9473" width="1.375" style="1" customWidth="1"/>
    <col min="9474" max="9474" width="11.75" style="1" customWidth="1"/>
    <col min="9475" max="9475" width="26.5" style="1" customWidth="1"/>
    <col min="9476" max="9476" width="17.125" style="1" customWidth="1"/>
    <col min="9477" max="9477" width="28.125" style="1" customWidth="1"/>
    <col min="9478" max="9478" width="30.625" style="1" customWidth="1"/>
    <col min="9479" max="9728" width="9" style="1"/>
    <col min="9729" max="9729" width="1.375" style="1" customWidth="1"/>
    <col min="9730" max="9730" width="11.75" style="1" customWidth="1"/>
    <col min="9731" max="9731" width="26.5" style="1" customWidth="1"/>
    <col min="9732" max="9732" width="17.125" style="1" customWidth="1"/>
    <col min="9733" max="9733" width="28.125" style="1" customWidth="1"/>
    <col min="9734" max="9734" width="30.625" style="1" customWidth="1"/>
    <col min="9735" max="9984" width="9" style="1"/>
    <col min="9985" max="9985" width="1.375" style="1" customWidth="1"/>
    <col min="9986" max="9986" width="11.75" style="1" customWidth="1"/>
    <col min="9987" max="9987" width="26.5" style="1" customWidth="1"/>
    <col min="9988" max="9988" width="17.125" style="1" customWidth="1"/>
    <col min="9989" max="9989" width="28.125" style="1" customWidth="1"/>
    <col min="9990" max="9990" width="30.625" style="1" customWidth="1"/>
    <col min="9991" max="10240" width="9" style="1"/>
    <col min="10241" max="10241" width="1.375" style="1" customWidth="1"/>
    <col min="10242" max="10242" width="11.75" style="1" customWidth="1"/>
    <col min="10243" max="10243" width="26.5" style="1" customWidth="1"/>
    <col min="10244" max="10244" width="17.125" style="1" customWidth="1"/>
    <col min="10245" max="10245" width="28.125" style="1" customWidth="1"/>
    <col min="10246" max="10246" width="30.625" style="1" customWidth="1"/>
    <col min="10247" max="10496" width="9" style="1"/>
    <col min="10497" max="10497" width="1.375" style="1" customWidth="1"/>
    <col min="10498" max="10498" width="11.75" style="1" customWidth="1"/>
    <col min="10499" max="10499" width="26.5" style="1" customWidth="1"/>
    <col min="10500" max="10500" width="17.125" style="1" customWidth="1"/>
    <col min="10501" max="10501" width="28.125" style="1" customWidth="1"/>
    <col min="10502" max="10502" width="30.625" style="1" customWidth="1"/>
    <col min="10503" max="10752" width="9" style="1"/>
    <col min="10753" max="10753" width="1.375" style="1" customWidth="1"/>
    <col min="10754" max="10754" width="11.75" style="1" customWidth="1"/>
    <col min="10755" max="10755" width="26.5" style="1" customWidth="1"/>
    <col min="10756" max="10756" width="17.125" style="1" customWidth="1"/>
    <col min="10757" max="10757" width="28.125" style="1" customWidth="1"/>
    <col min="10758" max="10758" width="30.625" style="1" customWidth="1"/>
    <col min="10759" max="11008" width="9" style="1"/>
    <col min="11009" max="11009" width="1.375" style="1" customWidth="1"/>
    <col min="11010" max="11010" width="11.75" style="1" customWidth="1"/>
    <col min="11011" max="11011" width="26.5" style="1" customWidth="1"/>
    <col min="11012" max="11012" width="17.125" style="1" customWidth="1"/>
    <col min="11013" max="11013" width="28.125" style="1" customWidth="1"/>
    <col min="11014" max="11014" width="30.625" style="1" customWidth="1"/>
    <col min="11015" max="11264" width="9" style="1"/>
    <col min="11265" max="11265" width="1.375" style="1" customWidth="1"/>
    <col min="11266" max="11266" width="11.75" style="1" customWidth="1"/>
    <col min="11267" max="11267" width="26.5" style="1" customWidth="1"/>
    <col min="11268" max="11268" width="17.125" style="1" customWidth="1"/>
    <col min="11269" max="11269" width="28.125" style="1" customWidth="1"/>
    <col min="11270" max="11270" width="30.625" style="1" customWidth="1"/>
    <col min="11271" max="11520" width="9" style="1"/>
    <col min="11521" max="11521" width="1.375" style="1" customWidth="1"/>
    <col min="11522" max="11522" width="11.75" style="1" customWidth="1"/>
    <col min="11523" max="11523" width="26.5" style="1" customWidth="1"/>
    <col min="11524" max="11524" width="17.125" style="1" customWidth="1"/>
    <col min="11525" max="11525" width="28.125" style="1" customWidth="1"/>
    <col min="11526" max="11526" width="30.625" style="1" customWidth="1"/>
    <col min="11527" max="11776" width="9" style="1"/>
    <col min="11777" max="11777" width="1.375" style="1" customWidth="1"/>
    <col min="11778" max="11778" width="11.75" style="1" customWidth="1"/>
    <col min="11779" max="11779" width="26.5" style="1" customWidth="1"/>
    <col min="11780" max="11780" width="17.125" style="1" customWidth="1"/>
    <col min="11781" max="11781" width="28.125" style="1" customWidth="1"/>
    <col min="11782" max="11782" width="30.625" style="1" customWidth="1"/>
    <col min="11783" max="12032" width="9" style="1"/>
    <col min="12033" max="12033" width="1.375" style="1" customWidth="1"/>
    <col min="12034" max="12034" width="11.75" style="1" customWidth="1"/>
    <col min="12035" max="12035" width="26.5" style="1" customWidth="1"/>
    <col min="12036" max="12036" width="17.125" style="1" customWidth="1"/>
    <col min="12037" max="12037" width="28.125" style="1" customWidth="1"/>
    <col min="12038" max="12038" width="30.625" style="1" customWidth="1"/>
    <col min="12039" max="12288" width="9" style="1"/>
    <col min="12289" max="12289" width="1.375" style="1" customWidth="1"/>
    <col min="12290" max="12290" width="11.75" style="1" customWidth="1"/>
    <col min="12291" max="12291" width="26.5" style="1" customWidth="1"/>
    <col min="12292" max="12292" width="17.125" style="1" customWidth="1"/>
    <col min="12293" max="12293" width="28.125" style="1" customWidth="1"/>
    <col min="12294" max="12294" width="30.625" style="1" customWidth="1"/>
    <col min="12295" max="12544" width="9" style="1"/>
    <col min="12545" max="12545" width="1.375" style="1" customWidth="1"/>
    <col min="12546" max="12546" width="11.75" style="1" customWidth="1"/>
    <col min="12547" max="12547" width="26.5" style="1" customWidth="1"/>
    <col min="12548" max="12548" width="17.125" style="1" customWidth="1"/>
    <col min="12549" max="12549" width="28.125" style="1" customWidth="1"/>
    <col min="12550" max="12550" width="30.625" style="1" customWidth="1"/>
    <col min="12551" max="12800" width="9" style="1"/>
    <col min="12801" max="12801" width="1.375" style="1" customWidth="1"/>
    <col min="12802" max="12802" width="11.75" style="1" customWidth="1"/>
    <col min="12803" max="12803" width="26.5" style="1" customWidth="1"/>
    <col min="12804" max="12804" width="17.125" style="1" customWidth="1"/>
    <col min="12805" max="12805" width="28.125" style="1" customWidth="1"/>
    <col min="12806" max="12806" width="30.625" style="1" customWidth="1"/>
    <col min="12807" max="13056" width="9" style="1"/>
    <col min="13057" max="13057" width="1.375" style="1" customWidth="1"/>
    <col min="13058" max="13058" width="11.75" style="1" customWidth="1"/>
    <col min="13059" max="13059" width="26.5" style="1" customWidth="1"/>
    <col min="13060" max="13060" width="17.125" style="1" customWidth="1"/>
    <col min="13061" max="13061" width="28.125" style="1" customWidth="1"/>
    <col min="13062" max="13062" width="30.625" style="1" customWidth="1"/>
    <col min="13063" max="13312" width="9" style="1"/>
    <col min="13313" max="13313" width="1.375" style="1" customWidth="1"/>
    <col min="13314" max="13314" width="11.75" style="1" customWidth="1"/>
    <col min="13315" max="13315" width="26.5" style="1" customWidth="1"/>
    <col min="13316" max="13316" width="17.125" style="1" customWidth="1"/>
    <col min="13317" max="13317" width="28.125" style="1" customWidth="1"/>
    <col min="13318" max="13318" width="30.625" style="1" customWidth="1"/>
    <col min="13319" max="13568" width="9" style="1"/>
    <col min="13569" max="13569" width="1.375" style="1" customWidth="1"/>
    <col min="13570" max="13570" width="11.75" style="1" customWidth="1"/>
    <col min="13571" max="13571" width="26.5" style="1" customWidth="1"/>
    <col min="13572" max="13572" width="17.125" style="1" customWidth="1"/>
    <col min="13573" max="13573" width="28.125" style="1" customWidth="1"/>
    <col min="13574" max="13574" width="30.625" style="1" customWidth="1"/>
    <col min="13575" max="13824" width="9" style="1"/>
    <col min="13825" max="13825" width="1.375" style="1" customWidth="1"/>
    <col min="13826" max="13826" width="11.75" style="1" customWidth="1"/>
    <col min="13827" max="13827" width="26.5" style="1" customWidth="1"/>
    <col min="13828" max="13828" width="17.125" style="1" customWidth="1"/>
    <col min="13829" max="13829" width="28.125" style="1" customWidth="1"/>
    <col min="13830" max="13830" width="30.625" style="1" customWidth="1"/>
    <col min="13831" max="14080" width="9" style="1"/>
    <col min="14081" max="14081" width="1.375" style="1" customWidth="1"/>
    <col min="14082" max="14082" width="11.75" style="1" customWidth="1"/>
    <col min="14083" max="14083" width="26.5" style="1" customWidth="1"/>
    <col min="14084" max="14084" width="17.125" style="1" customWidth="1"/>
    <col min="14085" max="14085" width="28.125" style="1" customWidth="1"/>
    <col min="14086" max="14086" width="30.625" style="1" customWidth="1"/>
    <col min="14087" max="14336" width="9" style="1"/>
    <col min="14337" max="14337" width="1.375" style="1" customWidth="1"/>
    <col min="14338" max="14338" width="11.75" style="1" customWidth="1"/>
    <col min="14339" max="14339" width="26.5" style="1" customWidth="1"/>
    <col min="14340" max="14340" width="17.125" style="1" customWidth="1"/>
    <col min="14341" max="14341" width="28.125" style="1" customWidth="1"/>
    <col min="14342" max="14342" width="30.625" style="1" customWidth="1"/>
    <col min="14343" max="14592" width="9" style="1"/>
    <col min="14593" max="14593" width="1.375" style="1" customWidth="1"/>
    <col min="14594" max="14594" width="11.75" style="1" customWidth="1"/>
    <col min="14595" max="14595" width="26.5" style="1" customWidth="1"/>
    <col min="14596" max="14596" width="17.125" style="1" customWidth="1"/>
    <col min="14597" max="14597" width="28.125" style="1" customWidth="1"/>
    <col min="14598" max="14598" width="30.625" style="1" customWidth="1"/>
    <col min="14599" max="14848" width="9" style="1"/>
    <col min="14849" max="14849" width="1.375" style="1" customWidth="1"/>
    <col min="14850" max="14850" width="11.75" style="1" customWidth="1"/>
    <col min="14851" max="14851" width="26.5" style="1" customWidth="1"/>
    <col min="14852" max="14852" width="17.125" style="1" customWidth="1"/>
    <col min="14853" max="14853" width="28.125" style="1" customWidth="1"/>
    <col min="14854" max="14854" width="30.625" style="1" customWidth="1"/>
    <col min="14855" max="15104" width="9" style="1"/>
    <col min="15105" max="15105" width="1.375" style="1" customWidth="1"/>
    <col min="15106" max="15106" width="11.75" style="1" customWidth="1"/>
    <col min="15107" max="15107" width="26.5" style="1" customWidth="1"/>
    <col min="15108" max="15108" width="17.125" style="1" customWidth="1"/>
    <col min="15109" max="15109" width="28.125" style="1" customWidth="1"/>
    <col min="15110" max="15110" width="30.625" style="1" customWidth="1"/>
    <col min="15111" max="15360" width="9" style="1"/>
    <col min="15361" max="15361" width="1.375" style="1" customWidth="1"/>
    <col min="15362" max="15362" width="11.75" style="1" customWidth="1"/>
    <col min="15363" max="15363" width="26.5" style="1" customWidth="1"/>
    <col min="15364" max="15364" width="17.125" style="1" customWidth="1"/>
    <col min="15365" max="15365" width="28.125" style="1" customWidth="1"/>
    <col min="15366" max="15366" width="30.625" style="1" customWidth="1"/>
    <col min="15367" max="15616" width="9" style="1"/>
    <col min="15617" max="15617" width="1.375" style="1" customWidth="1"/>
    <col min="15618" max="15618" width="11.75" style="1" customWidth="1"/>
    <col min="15619" max="15619" width="26.5" style="1" customWidth="1"/>
    <col min="15620" max="15620" width="17.125" style="1" customWidth="1"/>
    <col min="15621" max="15621" width="28.125" style="1" customWidth="1"/>
    <col min="15622" max="15622" width="30.625" style="1" customWidth="1"/>
    <col min="15623" max="15872" width="9" style="1"/>
    <col min="15873" max="15873" width="1.375" style="1" customWidth="1"/>
    <col min="15874" max="15874" width="11.75" style="1" customWidth="1"/>
    <col min="15875" max="15875" width="26.5" style="1" customWidth="1"/>
    <col min="15876" max="15876" width="17.125" style="1" customWidth="1"/>
    <col min="15877" max="15877" width="28.125" style="1" customWidth="1"/>
    <col min="15878" max="15878" width="30.625" style="1" customWidth="1"/>
    <col min="15879" max="16128" width="9" style="1"/>
    <col min="16129" max="16129" width="1.375" style="1" customWidth="1"/>
    <col min="16130" max="16130" width="11.75" style="1" customWidth="1"/>
    <col min="16131" max="16131" width="26.5" style="1" customWidth="1"/>
    <col min="16132" max="16132" width="17.125" style="1" customWidth="1"/>
    <col min="16133" max="16133" width="28.125" style="1" customWidth="1"/>
    <col min="16134" max="16134" width="30.625" style="1" customWidth="1"/>
    <col min="16135" max="16384" width="9" style="1"/>
  </cols>
  <sheetData>
    <row r="1" spans="2:6" ht="25.5">
      <c r="B1" s="133"/>
      <c r="D1" s="135" t="s">
        <v>211</v>
      </c>
      <c r="E1" s="136"/>
    </row>
    <row r="2" spans="2:6">
      <c r="B2" s="133"/>
      <c r="D2" s="137"/>
      <c r="E2" s="137"/>
    </row>
    <row r="3" spans="2:6">
      <c r="B3" s="138" t="s">
        <v>180</v>
      </c>
      <c r="C3" s="138"/>
      <c r="D3" s="64" t="str">
        <f>Cover!C4</f>
        <v>&lt;Project Name&gt;</v>
      </c>
      <c r="E3" s="64"/>
      <c r="F3" s="64"/>
    </row>
    <row r="4" spans="2:6">
      <c r="B4" s="138" t="s">
        <v>183</v>
      </c>
      <c r="C4" s="138"/>
      <c r="D4" s="64" t="str">
        <f>Cover!C5</f>
        <v>&lt;Project Code&gt;</v>
      </c>
      <c r="E4" s="64"/>
      <c r="F4" s="64"/>
    </row>
    <row r="5" spans="2:6" s="139" customFormat="1">
      <c r="B5" s="140" t="s">
        <v>212</v>
      </c>
      <c r="C5" s="140"/>
      <c r="D5" s="141" t="s">
        <v>213</v>
      </c>
      <c r="E5" s="141"/>
      <c r="F5" s="141"/>
    </row>
    <row r="6" spans="2:6">
      <c r="B6" s="142"/>
      <c r="C6" s="143"/>
      <c r="D6" s="143"/>
      <c r="E6" s="143"/>
      <c r="F6" s="143"/>
    </row>
    <row r="7" spans="2:6" s="57" customFormat="1">
      <c r="B7" s="144"/>
      <c r="C7" s="145"/>
      <c r="D7" s="145"/>
      <c r="E7" s="145"/>
      <c r="F7" s="145"/>
    </row>
    <row r="8" spans="2:6" s="146" customFormat="1" ht="13.5" thickBot="1">
      <c r="B8" s="147" t="s">
        <v>191</v>
      </c>
      <c r="C8" s="148" t="s">
        <v>214</v>
      </c>
      <c r="D8" s="148" t="s">
        <v>215</v>
      </c>
      <c r="E8" s="149" t="s">
        <v>216</v>
      </c>
      <c r="F8" s="150" t="s">
        <v>217</v>
      </c>
    </row>
    <row r="9" spans="2:6" ht="57.75" thickBot="1">
      <c r="B9" s="151">
        <v>1</v>
      </c>
      <c r="C9" s="151" t="s">
        <v>219</v>
      </c>
      <c r="D9" s="152" t="s">
        <v>198</v>
      </c>
      <c r="E9" s="152" t="s">
        <v>220</v>
      </c>
      <c r="F9" s="152" t="s">
        <v>221</v>
      </c>
    </row>
    <row r="10" spans="2:6" ht="57.75" thickBot="1">
      <c r="B10" s="151">
        <v>2</v>
      </c>
      <c r="C10" s="151" t="s">
        <v>222</v>
      </c>
      <c r="D10" s="152" t="s">
        <v>199</v>
      </c>
      <c r="E10" s="152" t="s">
        <v>223</v>
      </c>
      <c r="F10" s="152" t="s">
        <v>224</v>
      </c>
    </row>
    <row r="11" spans="2:6" ht="43.5" thickBot="1">
      <c r="B11" s="151">
        <v>3</v>
      </c>
      <c r="C11" s="151" t="s">
        <v>218</v>
      </c>
      <c r="D11" s="152" t="s">
        <v>68</v>
      </c>
      <c r="E11" s="152" t="s">
        <v>225</v>
      </c>
      <c r="F11" s="152" t="s">
        <v>226</v>
      </c>
    </row>
    <row r="12" spans="2:6" ht="57.75" thickBot="1">
      <c r="B12" s="151">
        <v>4</v>
      </c>
      <c r="C12" s="151" t="s">
        <v>227</v>
      </c>
      <c r="D12" s="152" t="s">
        <v>200</v>
      </c>
      <c r="E12" s="152" t="s">
        <v>228</v>
      </c>
      <c r="F12" s="152" t="s">
        <v>229</v>
      </c>
    </row>
    <row r="13" spans="2:6">
      <c r="B13" s="153"/>
      <c r="C13" s="154"/>
      <c r="D13" s="155"/>
      <c r="E13" s="155"/>
      <c r="F13" s="156"/>
    </row>
    <row r="14" spans="2:6">
      <c r="B14" s="153"/>
      <c r="C14" s="154"/>
      <c r="D14" s="155"/>
      <c r="E14" s="155"/>
      <c r="F14" s="156"/>
    </row>
    <row r="15" spans="2:6">
      <c r="B15" s="153"/>
      <c r="C15" s="154"/>
      <c r="D15" s="155"/>
      <c r="E15" s="155"/>
      <c r="F15" s="156"/>
    </row>
    <row r="16" spans="2:6">
      <c r="B16" s="153"/>
      <c r="C16" s="154"/>
      <c r="D16" s="155"/>
      <c r="E16" s="155"/>
      <c r="F16" s="156"/>
    </row>
    <row r="17" spans="2:6">
      <c r="B17" s="153"/>
      <c r="C17" s="154"/>
      <c r="D17" s="155"/>
      <c r="E17" s="155"/>
      <c r="F17" s="156"/>
    </row>
    <row r="18" spans="2:6">
      <c r="B18" s="157"/>
      <c r="C18" s="158"/>
      <c r="D18" s="159"/>
      <c r="E18" s="159"/>
      <c r="F18" s="160"/>
    </row>
  </sheetData>
  <mergeCells count="6">
    <mergeCell ref="B3:C3"/>
    <mergeCell ref="D3:F3"/>
    <mergeCell ref="B4:C4"/>
    <mergeCell ref="D4:F4"/>
    <mergeCell ref="B5:C5"/>
    <mergeCell ref="D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abSelected="1" zoomScale="115" zoomScaleNormal="115" workbookViewId="0">
      <pane ySplit="6" topLeftCell="A7" activePane="bottomLeft" state="frozen"/>
      <selection pane="bottomLeft" activeCell="B3" sqref="B3"/>
    </sheetView>
  </sheetViews>
  <sheetFormatPr defaultColWidth="9" defaultRowHeight="12.75"/>
  <cols>
    <col min="1" max="1" width="14.375" style="1" customWidth="1"/>
    <col min="2" max="2" width="19.125" style="1" customWidth="1"/>
    <col min="3" max="3" width="32.125" style="1" customWidth="1"/>
    <col min="4" max="4" width="22.875" style="1" customWidth="1"/>
    <col min="5" max="5" width="18.875" style="1" customWidth="1"/>
    <col min="6" max="6" width="0" style="1" hidden="1" customWidth="1"/>
    <col min="7" max="16384" width="9" style="1"/>
  </cols>
  <sheetData>
    <row r="1" spans="1:6" s="2" customFormat="1" ht="13.5" thickBot="1"/>
    <row r="2" spans="1:6" s="2" customFormat="1" ht="15" customHeight="1">
      <c r="A2" s="25" t="s">
        <v>0</v>
      </c>
      <c r="B2" s="47" t="s">
        <v>198</v>
      </c>
      <c r="C2" s="47"/>
      <c r="D2" s="47"/>
      <c r="E2" s="48"/>
      <c r="F2" s="2" t="s">
        <v>1</v>
      </c>
    </row>
    <row r="3" spans="1:6" s="2" customFormat="1" ht="19.5" customHeight="1">
      <c r="A3" s="19" t="s">
        <v>1</v>
      </c>
      <c r="B3" s="3" t="s">
        <v>2</v>
      </c>
      <c r="C3" s="3" t="s">
        <v>3</v>
      </c>
      <c r="D3" s="4" t="s">
        <v>4</v>
      </c>
      <c r="E3" s="20" t="s">
        <v>5</v>
      </c>
      <c r="F3" s="2" t="s">
        <v>6</v>
      </c>
    </row>
    <row r="4" spans="1:6" s="2" customFormat="1" ht="15" customHeight="1" thickBot="1">
      <c r="A4" s="21">
        <f>COUNTIF(E7:E995,"Pass")</f>
        <v>17</v>
      </c>
      <c r="B4" s="22">
        <f>COUNTIF(E7:E995,"Fail")</f>
        <v>0</v>
      </c>
      <c r="C4" s="22">
        <f>E4-D4-B4-A4</f>
        <v>0</v>
      </c>
      <c r="D4" s="23">
        <f>COUNTIF(E$7:E$995,"N/A")</f>
        <v>1</v>
      </c>
      <c r="E4" s="24">
        <f>COUNTA(A7:A954)</f>
        <v>18</v>
      </c>
      <c r="F4" s="2" t="s">
        <v>4</v>
      </c>
    </row>
    <row r="5" spans="1:6" s="2" customFormat="1" ht="15" customHeight="1">
      <c r="D5" s="6"/>
      <c r="E5" s="5"/>
    </row>
    <row r="6" spans="1:6" s="2" customFormat="1" ht="25.5" customHeight="1">
      <c r="A6" s="10" t="s">
        <v>7</v>
      </c>
      <c r="B6" s="10" t="s">
        <v>8</v>
      </c>
      <c r="C6" s="10" t="s">
        <v>9</v>
      </c>
      <c r="D6" s="10" t="s">
        <v>10</v>
      </c>
      <c r="E6" s="10" t="s">
        <v>11</v>
      </c>
    </row>
    <row r="7" spans="1:6" s="7" customFormat="1" ht="66.75" customHeight="1">
      <c r="A7" s="13" t="s">
        <v>12</v>
      </c>
      <c r="B7" s="11" t="s">
        <v>44</v>
      </c>
      <c r="C7" s="11" t="s">
        <v>45</v>
      </c>
      <c r="D7" s="11" t="s">
        <v>15</v>
      </c>
      <c r="E7" s="14" t="s">
        <v>1</v>
      </c>
    </row>
    <row r="8" spans="1:6" s="7" customFormat="1" ht="66.75" customHeight="1">
      <c r="A8" s="11" t="s">
        <v>16</v>
      </c>
      <c r="B8" s="11" t="s">
        <v>46</v>
      </c>
      <c r="C8" s="11" t="s">
        <v>47</v>
      </c>
      <c r="D8" s="8" t="s">
        <v>47</v>
      </c>
      <c r="E8" s="14" t="s">
        <v>4</v>
      </c>
    </row>
    <row r="9" spans="1:6" ht="43.5" customHeight="1">
      <c r="A9" s="13" t="s">
        <v>17</v>
      </c>
      <c r="B9" s="11" t="s">
        <v>18</v>
      </c>
      <c r="C9" s="13" t="s">
        <v>19</v>
      </c>
      <c r="D9" s="11" t="s">
        <v>20</v>
      </c>
      <c r="E9" s="14" t="s">
        <v>1</v>
      </c>
    </row>
    <row r="10" spans="1:6" ht="51">
      <c r="A10" s="13" t="s">
        <v>21</v>
      </c>
      <c r="B10" s="11" t="s">
        <v>48</v>
      </c>
      <c r="C10" s="14" t="s">
        <v>49</v>
      </c>
      <c r="D10" s="15" t="s">
        <v>22</v>
      </c>
      <c r="E10" s="14" t="s">
        <v>1</v>
      </c>
    </row>
    <row r="11" spans="1:6" ht="42.75">
      <c r="A11" s="14" t="s">
        <v>23</v>
      </c>
      <c r="B11" s="11" t="s">
        <v>24</v>
      </c>
      <c r="C11" s="14" t="s">
        <v>25</v>
      </c>
      <c r="D11" s="11" t="s">
        <v>26</v>
      </c>
      <c r="E11" s="14" t="s">
        <v>1</v>
      </c>
    </row>
    <row r="12" spans="1:6" ht="38.25">
      <c r="A12" s="13" t="s">
        <v>27</v>
      </c>
      <c r="B12" s="14" t="s">
        <v>50</v>
      </c>
      <c r="C12" s="14" t="s">
        <v>51</v>
      </c>
      <c r="D12" s="14" t="s">
        <v>28</v>
      </c>
      <c r="E12" s="14" t="s">
        <v>1</v>
      </c>
    </row>
    <row r="13" spans="1:6" s="9" customFormat="1" ht="47.1" customHeight="1">
      <c r="A13" s="49" t="s">
        <v>29</v>
      </c>
      <c r="B13" s="11" t="s">
        <v>30</v>
      </c>
      <c r="C13" s="16" t="s">
        <v>43</v>
      </c>
      <c r="D13" s="11" t="s">
        <v>31</v>
      </c>
      <c r="E13" s="49" t="s">
        <v>1</v>
      </c>
    </row>
    <row r="14" spans="1:6" s="9" customFormat="1" ht="47.1" customHeight="1">
      <c r="A14" s="13" t="s">
        <v>32</v>
      </c>
      <c r="B14" s="11" t="s">
        <v>33</v>
      </c>
      <c r="C14" s="11" t="s">
        <v>34</v>
      </c>
      <c r="D14" s="11" t="s">
        <v>35</v>
      </c>
      <c r="E14" s="14" t="s">
        <v>1</v>
      </c>
    </row>
    <row r="15" spans="1:6" ht="51">
      <c r="A15" s="13" t="s">
        <v>36</v>
      </c>
      <c r="B15" s="11" t="s">
        <v>13</v>
      </c>
      <c r="C15" s="8" t="s">
        <v>52</v>
      </c>
      <c r="D15" s="11" t="s">
        <v>14</v>
      </c>
      <c r="E15" s="14" t="s">
        <v>1</v>
      </c>
    </row>
    <row r="16" spans="1:6" ht="51">
      <c r="A16" s="13" t="s">
        <v>37</v>
      </c>
      <c r="B16" s="11" t="s">
        <v>38</v>
      </c>
      <c r="C16" s="8" t="s">
        <v>52</v>
      </c>
      <c r="D16" s="13" t="s">
        <v>39</v>
      </c>
      <c r="E16" s="17" t="s">
        <v>1</v>
      </c>
    </row>
    <row r="17" spans="1:5" ht="51">
      <c r="A17" s="13" t="s">
        <v>40</v>
      </c>
      <c r="B17" s="11" t="s">
        <v>41</v>
      </c>
      <c r="C17" s="8" t="s">
        <v>52</v>
      </c>
      <c r="D17" s="17" t="s">
        <v>42</v>
      </c>
      <c r="E17" s="17" t="s">
        <v>1</v>
      </c>
    </row>
    <row r="18" spans="1:5" ht="161.25">
      <c r="A18" s="50" t="s">
        <v>148</v>
      </c>
      <c r="B18" s="11" t="s">
        <v>149</v>
      </c>
      <c r="C18" s="11" t="s">
        <v>154</v>
      </c>
      <c r="D18" s="11" t="s">
        <v>157</v>
      </c>
      <c r="E18" s="51" t="s">
        <v>1</v>
      </c>
    </row>
    <row r="19" spans="1:5" ht="103.5">
      <c r="A19" s="50" t="s">
        <v>150</v>
      </c>
      <c r="B19" s="11" t="s">
        <v>151</v>
      </c>
      <c r="C19" s="11" t="s">
        <v>155</v>
      </c>
      <c r="D19" s="11" t="s">
        <v>156</v>
      </c>
      <c r="E19" s="51" t="s">
        <v>1</v>
      </c>
    </row>
    <row r="20" spans="1:5" ht="130.5" thickBot="1">
      <c r="A20" s="52" t="s">
        <v>152</v>
      </c>
      <c r="B20" s="53" t="s">
        <v>153</v>
      </c>
      <c r="C20" s="53" t="s">
        <v>158</v>
      </c>
      <c r="D20" s="53" t="s">
        <v>159</v>
      </c>
      <c r="E20" s="54" t="s">
        <v>1</v>
      </c>
    </row>
    <row r="21" spans="1:5" ht="88.5">
      <c r="A21" s="50" t="s">
        <v>160</v>
      </c>
      <c r="B21" s="11" t="s">
        <v>161</v>
      </c>
      <c r="C21" s="11" t="s">
        <v>169</v>
      </c>
      <c r="D21" s="11" t="s">
        <v>173</v>
      </c>
      <c r="E21" s="51" t="s">
        <v>1</v>
      </c>
    </row>
    <row r="22" spans="1:5" ht="85.5">
      <c r="A22" s="50" t="s">
        <v>162</v>
      </c>
      <c r="B22" s="11" t="s">
        <v>163</v>
      </c>
      <c r="C22" s="11" t="s">
        <v>172</v>
      </c>
      <c r="D22" s="11" t="s">
        <v>174</v>
      </c>
      <c r="E22" s="51" t="s">
        <v>1</v>
      </c>
    </row>
    <row r="23" spans="1:5" ht="71.25">
      <c r="A23" s="50" t="s">
        <v>164</v>
      </c>
      <c r="B23" s="11" t="s">
        <v>165</v>
      </c>
      <c r="C23" s="11" t="s">
        <v>171</v>
      </c>
      <c r="D23" s="11" t="s">
        <v>175</v>
      </c>
      <c r="E23" s="51" t="s">
        <v>1</v>
      </c>
    </row>
    <row r="24" spans="1:5" ht="143.25" thickBot="1">
      <c r="A24" s="52" t="s">
        <v>166</v>
      </c>
      <c r="B24" s="53" t="s">
        <v>167</v>
      </c>
      <c r="C24" s="53" t="s">
        <v>170</v>
      </c>
      <c r="D24" s="53" t="s">
        <v>168</v>
      </c>
      <c r="E24" s="54" t="s">
        <v>1</v>
      </c>
    </row>
  </sheetData>
  <mergeCells count="1">
    <mergeCell ref="B2:E2"/>
  </mergeCells>
  <phoneticPr fontId="0" type="noConversion"/>
  <dataValidations count="1">
    <dataValidation type="list" allowBlank="1" showErrorMessage="1" sqref="E5:E17 E25:E142">
      <formula1>$F$2:$F$4</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zoomScale="115" zoomScaleNormal="115" workbookViewId="0">
      <pane ySplit="6" topLeftCell="A7" activePane="bottomLeft" state="frozen"/>
      <selection pane="bottomLeft" activeCell="C7" sqref="C7"/>
    </sheetView>
  </sheetViews>
  <sheetFormatPr defaultColWidth="9" defaultRowHeight="12.75"/>
  <cols>
    <col min="1" max="1" width="14.375" style="1" customWidth="1"/>
    <col min="2" max="2" width="19.125" style="1" customWidth="1"/>
    <col min="3" max="3" width="38" style="1" customWidth="1"/>
    <col min="4" max="4" width="30.125" style="1" customWidth="1"/>
    <col min="5" max="5" width="18.875" style="1" customWidth="1"/>
    <col min="6" max="6" width="0" style="1" hidden="1" customWidth="1"/>
    <col min="7" max="16384" width="9" style="1"/>
  </cols>
  <sheetData>
    <row r="1" spans="1:8" s="2" customFormat="1" ht="13.5" thickBot="1"/>
    <row r="2" spans="1:8" s="2" customFormat="1" ht="15" customHeight="1">
      <c r="A2" s="25" t="s">
        <v>0</v>
      </c>
      <c r="B2" s="47" t="s">
        <v>199</v>
      </c>
      <c r="C2" s="47"/>
      <c r="D2" s="47"/>
      <c r="E2" s="48"/>
      <c r="F2" s="2" t="s">
        <v>1</v>
      </c>
    </row>
    <row r="3" spans="1:8" s="2" customFormat="1" ht="19.5" customHeight="1">
      <c r="A3" s="19" t="s">
        <v>1</v>
      </c>
      <c r="B3" s="3" t="s">
        <v>2</v>
      </c>
      <c r="C3" s="3" t="s">
        <v>3</v>
      </c>
      <c r="D3" s="4" t="s">
        <v>4</v>
      </c>
      <c r="E3" s="20" t="s">
        <v>5</v>
      </c>
      <c r="F3" s="2" t="s">
        <v>6</v>
      </c>
    </row>
    <row r="4" spans="1:8" s="2" customFormat="1" ht="15" customHeight="1" thickBot="1">
      <c r="A4" s="21">
        <f>COUNTIF(E7:E987,"Pass")</f>
        <v>7</v>
      </c>
      <c r="B4" s="22">
        <f>COUNTIF(E7:E987,"Fail")</f>
        <v>1</v>
      </c>
      <c r="C4" s="22">
        <v>0</v>
      </c>
      <c r="D4" s="23">
        <f>COUNTIF(E$7:E$987,"N/A")</f>
        <v>0</v>
      </c>
      <c r="E4" s="24">
        <f>COUNTA(A7:A954)</f>
        <v>8</v>
      </c>
      <c r="F4" s="2" t="s">
        <v>4</v>
      </c>
    </row>
    <row r="5" spans="1:8" s="2" customFormat="1" ht="15" customHeight="1" thickBot="1">
      <c r="D5" s="6"/>
      <c r="E5" s="5"/>
    </row>
    <row r="6" spans="1:8" s="18" customFormat="1" ht="25.5" customHeight="1">
      <c r="A6" s="27" t="s">
        <v>7</v>
      </c>
      <c r="B6" s="28" t="s">
        <v>8</v>
      </c>
      <c r="C6" s="28" t="s">
        <v>9</v>
      </c>
      <c r="D6" s="28" t="s">
        <v>10</v>
      </c>
      <c r="E6" s="29" t="s">
        <v>11</v>
      </c>
      <c r="G6" s="55" t="s">
        <v>178</v>
      </c>
      <c r="H6" s="56"/>
    </row>
    <row r="7" spans="1:8" s="38" customFormat="1" ht="135.75" customHeight="1">
      <c r="A7" s="39" t="s">
        <v>125</v>
      </c>
      <c r="B7" s="12" t="s">
        <v>126</v>
      </c>
      <c r="C7" s="12" t="s">
        <v>134</v>
      </c>
      <c r="D7" s="12" t="s">
        <v>131</v>
      </c>
      <c r="E7" s="40" t="s">
        <v>1</v>
      </c>
    </row>
    <row r="8" spans="1:8" s="7" customFormat="1" ht="99" customHeight="1">
      <c r="A8" s="39" t="s">
        <v>127</v>
      </c>
      <c r="B8" s="12" t="s">
        <v>128</v>
      </c>
      <c r="C8" s="12" t="s">
        <v>135</v>
      </c>
      <c r="D8" s="12" t="s">
        <v>132</v>
      </c>
      <c r="E8" s="40" t="s">
        <v>1</v>
      </c>
    </row>
    <row r="9" spans="1:8" ht="111" customHeight="1" thickBot="1">
      <c r="A9" s="41" t="s">
        <v>129</v>
      </c>
      <c r="B9" s="34" t="s">
        <v>130</v>
      </c>
      <c r="C9" s="34" t="s">
        <v>136</v>
      </c>
      <c r="D9" s="34" t="s">
        <v>133</v>
      </c>
      <c r="E9" s="42" t="s">
        <v>1</v>
      </c>
    </row>
    <row r="10" spans="1:8" ht="148.5">
      <c r="A10" s="39" t="s">
        <v>105</v>
      </c>
      <c r="B10" s="12" t="s">
        <v>106</v>
      </c>
      <c r="C10" s="12" t="s">
        <v>114</v>
      </c>
      <c r="D10" s="12" t="s">
        <v>115</v>
      </c>
      <c r="E10" s="40" t="s">
        <v>1</v>
      </c>
    </row>
    <row r="11" spans="1:8" ht="89.25">
      <c r="A11" s="39" t="s">
        <v>107</v>
      </c>
      <c r="B11" s="12" t="s">
        <v>108</v>
      </c>
      <c r="C11" s="12" t="s">
        <v>116</v>
      </c>
      <c r="D11" s="12" t="s">
        <v>124</v>
      </c>
      <c r="E11" s="40" t="s">
        <v>1</v>
      </c>
    </row>
    <row r="12" spans="1:8" ht="103.5">
      <c r="A12" s="39" t="s">
        <v>109</v>
      </c>
      <c r="B12" s="12" t="s">
        <v>110</v>
      </c>
      <c r="C12" s="12" t="s">
        <v>117</v>
      </c>
      <c r="D12" s="12" t="s">
        <v>123</v>
      </c>
      <c r="E12" s="12" t="s">
        <v>2</v>
      </c>
      <c r="F12" s="58" t="s">
        <v>177</v>
      </c>
      <c r="G12" s="58"/>
      <c r="H12" s="58"/>
    </row>
    <row r="13" spans="1:8" ht="89.25">
      <c r="A13" s="39" t="s">
        <v>111</v>
      </c>
      <c r="B13" s="12" t="s">
        <v>119</v>
      </c>
      <c r="C13" s="12" t="s">
        <v>118</v>
      </c>
      <c r="D13" s="12" t="s">
        <v>120</v>
      </c>
      <c r="E13" s="40" t="s">
        <v>1</v>
      </c>
    </row>
    <row r="14" spans="1:8" ht="90" thickBot="1">
      <c r="A14" s="41" t="s">
        <v>112</v>
      </c>
      <c r="B14" s="34" t="s">
        <v>113</v>
      </c>
      <c r="C14" s="34" t="s">
        <v>121</v>
      </c>
      <c r="D14" s="34" t="s">
        <v>122</v>
      </c>
      <c r="E14" s="42" t="s">
        <v>1</v>
      </c>
    </row>
  </sheetData>
  <mergeCells count="3">
    <mergeCell ref="B2:E2"/>
    <mergeCell ref="G6:H6"/>
    <mergeCell ref="F12:H12"/>
  </mergeCells>
  <dataValidations count="1">
    <dataValidation type="list" allowBlank="1" showErrorMessage="1" sqref="E5:E6 E15:E134">
      <formula1>$F$2:$F$4</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zoomScale="115" zoomScaleNormal="115" workbookViewId="0">
      <pane ySplit="6" topLeftCell="A7" activePane="bottomLeft" state="frozen"/>
      <selection pane="bottomLeft" activeCell="I9" sqref="I9"/>
    </sheetView>
  </sheetViews>
  <sheetFormatPr defaultColWidth="9" defaultRowHeight="12.75"/>
  <cols>
    <col min="1" max="1" width="14.375" style="1" customWidth="1"/>
    <col min="2" max="2" width="19.125" style="1" customWidth="1"/>
    <col min="3" max="3" width="32.125" style="1" customWidth="1"/>
    <col min="4" max="4" width="22.875" style="1" customWidth="1"/>
    <col min="5" max="5" width="18.875" style="1" customWidth="1"/>
    <col min="6" max="6" width="0" style="1" hidden="1" customWidth="1"/>
    <col min="7" max="16384" width="9" style="1"/>
  </cols>
  <sheetData>
    <row r="1" spans="1:6" s="2" customFormat="1" ht="13.5" thickBot="1"/>
    <row r="2" spans="1:6" s="2" customFormat="1" ht="15" customHeight="1">
      <c r="A2" s="25" t="s">
        <v>0</v>
      </c>
      <c r="B2" s="47" t="s">
        <v>68</v>
      </c>
      <c r="C2" s="47"/>
      <c r="D2" s="47"/>
      <c r="E2" s="48"/>
      <c r="F2" s="2" t="s">
        <v>1</v>
      </c>
    </row>
    <row r="3" spans="1:6" s="2" customFormat="1" ht="19.5" customHeight="1">
      <c r="A3" s="19" t="s">
        <v>1</v>
      </c>
      <c r="B3" s="3" t="s">
        <v>2</v>
      </c>
      <c r="C3" s="3" t="s">
        <v>3</v>
      </c>
      <c r="D3" s="4" t="s">
        <v>4</v>
      </c>
      <c r="E3" s="20" t="s">
        <v>5</v>
      </c>
      <c r="F3" s="2" t="s">
        <v>6</v>
      </c>
    </row>
    <row r="4" spans="1:6" s="2" customFormat="1" ht="15" customHeight="1" thickBot="1">
      <c r="A4" s="21">
        <f>COUNTIF(E7:E989,"Pass")</f>
        <v>4</v>
      </c>
      <c r="B4" s="22">
        <f>COUNTIF(E7:E989,"Fail")</f>
        <v>0</v>
      </c>
      <c r="C4" s="22">
        <f>E4-D4-B4-A4</f>
        <v>0</v>
      </c>
      <c r="D4" s="23">
        <f>COUNTIF(E$7:E$989,"N/A")</f>
        <v>0</v>
      </c>
      <c r="E4" s="24">
        <v>4</v>
      </c>
      <c r="F4" s="2" t="s">
        <v>4</v>
      </c>
    </row>
    <row r="5" spans="1:6" s="2" customFormat="1" ht="15" customHeight="1" thickBot="1">
      <c r="D5" s="6"/>
      <c r="E5" s="5"/>
    </row>
    <row r="6" spans="1:6" s="18" customFormat="1" ht="25.5" customHeight="1">
      <c r="A6" s="27" t="s">
        <v>7</v>
      </c>
      <c r="B6" s="28" t="s">
        <v>8</v>
      </c>
      <c r="C6" s="28" t="s">
        <v>9</v>
      </c>
      <c r="D6" s="28" t="s">
        <v>10</v>
      </c>
      <c r="E6" s="29" t="s">
        <v>11</v>
      </c>
    </row>
    <row r="7" spans="1:6" s="38" customFormat="1" ht="55.5" customHeight="1">
      <c r="A7" s="30" t="s">
        <v>53</v>
      </c>
      <c r="B7" s="11" t="s">
        <v>57</v>
      </c>
      <c r="C7" s="11" t="s">
        <v>54</v>
      </c>
      <c r="D7" s="12" t="s">
        <v>55</v>
      </c>
      <c r="E7" s="31" t="s">
        <v>1</v>
      </c>
    </row>
    <row r="8" spans="1:6" s="7" customFormat="1" ht="48.75" customHeight="1">
      <c r="A8" s="32" t="s">
        <v>61</v>
      </c>
      <c r="B8" s="11" t="s">
        <v>58</v>
      </c>
      <c r="C8" s="11" t="s">
        <v>59</v>
      </c>
      <c r="D8" s="8" t="s">
        <v>60</v>
      </c>
      <c r="E8" s="31" t="s">
        <v>1</v>
      </c>
    </row>
    <row r="9" spans="1:6" ht="56.25" customHeight="1">
      <c r="A9" s="30" t="s">
        <v>56</v>
      </c>
      <c r="B9" s="11" t="s">
        <v>62</v>
      </c>
      <c r="C9" s="11" t="s">
        <v>63</v>
      </c>
      <c r="D9" s="11" t="s">
        <v>60</v>
      </c>
      <c r="E9" s="31" t="s">
        <v>1</v>
      </c>
    </row>
    <row r="10" spans="1:6" ht="48.75" customHeight="1" thickBot="1">
      <c r="A10" s="33" t="s">
        <v>64</v>
      </c>
      <c r="B10" s="34" t="s">
        <v>65</v>
      </c>
      <c r="C10" s="35" t="s">
        <v>66</v>
      </c>
      <c r="D10" s="36" t="s">
        <v>67</v>
      </c>
      <c r="E10" s="37" t="s">
        <v>1</v>
      </c>
    </row>
  </sheetData>
  <mergeCells count="1">
    <mergeCell ref="B2:E2"/>
  </mergeCells>
  <dataValidations count="1">
    <dataValidation type="list" allowBlank="1" showErrorMessage="1" sqref="E5:E10 E12:E136">
      <formula1>$F$2:$F$4</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zoomScaleNormal="100" workbookViewId="0">
      <pane ySplit="6" topLeftCell="A7" activePane="bottomLeft" state="frozen"/>
      <selection pane="bottomLeft" activeCell="C7" sqref="C7"/>
    </sheetView>
  </sheetViews>
  <sheetFormatPr defaultColWidth="9" defaultRowHeight="12.75"/>
  <cols>
    <col min="1" max="1" width="14.375" style="1" customWidth="1"/>
    <col min="2" max="2" width="19.125" style="1" customWidth="1"/>
    <col min="3" max="3" width="50" style="1" customWidth="1"/>
    <col min="4" max="4" width="31.625" style="1" customWidth="1"/>
    <col min="5" max="5" width="18.875" style="1" customWidth="1"/>
    <col min="6" max="16384" width="9" style="1"/>
  </cols>
  <sheetData>
    <row r="1" spans="1:7" s="2" customFormat="1" ht="13.5" thickBot="1"/>
    <row r="2" spans="1:7" s="2" customFormat="1" ht="15" customHeight="1">
      <c r="A2" s="25" t="s">
        <v>0</v>
      </c>
      <c r="B2" s="47" t="s">
        <v>200</v>
      </c>
      <c r="C2" s="47"/>
      <c r="D2" s="47"/>
      <c r="E2" s="48"/>
    </row>
    <row r="3" spans="1:7" s="2" customFormat="1" ht="19.5" customHeight="1">
      <c r="A3" s="19" t="s">
        <v>1</v>
      </c>
      <c r="B3" s="3" t="s">
        <v>2</v>
      </c>
      <c r="C3" s="3" t="s">
        <v>3</v>
      </c>
      <c r="D3" s="4" t="s">
        <v>4</v>
      </c>
      <c r="E3" s="20" t="s">
        <v>5</v>
      </c>
    </row>
    <row r="4" spans="1:7" s="2" customFormat="1" ht="15" customHeight="1" thickBot="1">
      <c r="A4" s="21">
        <f>COUNTIF(E7:E982,"Pass")</f>
        <v>11</v>
      </c>
      <c r="B4" s="22">
        <f>COUNTIF(E$7:E$982,"Fail")</f>
        <v>0</v>
      </c>
      <c r="C4" s="22">
        <v>0</v>
      </c>
      <c r="D4" s="23">
        <f>COUNTIF(E$7:E$982,"N/A")</f>
        <v>1</v>
      </c>
      <c r="E4" s="24">
        <f>COUNTA(A7:A954)</f>
        <v>12</v>
      </c>
    </row>
    <row r="5" spans="1:7" s="2" customFormat="1" ht="15" customHeight="1" thickBot="1">
      <c r="D5" s="6"/>
      <c r="E5" s="5"/>
    </row>
    <row r="6" spans="1:7" s="18" customFormat="1" ht="25.5" customHeight="1">
      <c r="A6" s="27" t="s">
        <v>7</v>
      </c>
      <c r="B6" s="28" t="s">
        <v>8</v>
      </c>
      <c r="C6" s="28" t="s">
        <v>9</v>
      </c>
      <c r="D6" s="28" t="s">
        <v>10</v>
      </c>
      <c r="E6" s="29" t="s">
        <v>11</v>
      </c>
      <c r="F6" s="55" t="s">
        <v>178</v>
      </c>
      <c r="G6" s="56"/>
    </row>
    <row r="7" spans="1:7" s="7" customFormat="1" ht="64.5" customHeight="1" thickBot="1">
      <c r="A7" s="41" t="s">
        <v>101</v>
      </c>
      <c r="B7" s="34" t="s">
        <v>104</v>
      </c>
      <c r="C7" s="34" t="s">
        <v>103</v>
      </c>
      <c r="D7" s="34" t="s">
        <v>102</v>
      </c>
      <c r="E7" s="42" t="s">
        <v>4</v>
      </c>
    </row>
    <row r="8" spans="1:7" ht="87.75">
      <c r="A8" s="39" t="s">
        <v>138</v>
      </c>
      <c r="B8" s="12" t="s">
        <v>137</v>
      </c>
      <c r="C8" s="12" t="s">
        <v>143</v>
      </c>
      <c r="D8" s="12" t="s">
        <v>144</v>
      </c>
      <c r="E8" s="40" t="s">
        <v>1</v>
      </c>
    </row>
    <row r="9" spans="1:7" ht="87">
      <c r="A9" s="39" t="s">
        <v>140</v>
      </c>
      <c r="B9" s="12" t="s">
        <v>139</v>
      </c>
      <c r="C9" s="12" t="s">
        <v>145</v>
      </c>
      <c r="D9" s="12" t="s">
        <v>142</v>
      </c>
      <c r="E9" s="40" t="s">
        <v>1</v>
      </c>
    </row>
    <row r="10" spans="1:7" ht="90" thickBot="1">
      <c r="A10" s="41" t="s">
        <v>176</v>
      </c>
      <c r="B10" s="34" t="s">
        <v>141</v>
      </c>
      <c r="C10" s="34" t="s">
        <v>146</v>
      </c>
      <c r="D10" s="34" t="s">
        <v>147</v>
      </c>
      <c r="E10" s="42" t="s">
        <v>1</v>
      </c>
    </row>
    <row r="11" spans="1:7" ht="72">
      <c r="A11" s="39" t="s">
        <v>69</v>
      </c>
      <c r="B11" s="12" t="s">
        <v>70</v>
      </c>
      <c r="C11" s="12" t="s">
        <v>91</v>
      </c>
      <c r="D11" s="12" t="s">
        <v>71</v>
      </c>
      <c r="E11" s="40" t="s">
        <v>1</v>
      </c>
    </row>
    <row r="12" spans="1:7" ht="58.5">
      <c r="A12" s="39" t="s">
        <v>72</v>
      </c>
      <c r="B12" s="12" t="s">
        <v>73</v>
      </c>
      <c r="C12" s="12" t="s">
        <v>83</v>
      </c>
      <c r="D12" s="12" t="s">
        <v>90</v>
      </c>
      <c r="E12" s="40" t="s">
        <v>1</v>
      </c>
    </row>
    <row r="13" spans="1:7" ht="58.5">
      <c r="A13" s="39" t="s">
        <v>74</v>
      </c>
      <c r="B13" s="12" t="s">
        <v>75</v>
      </c>
      <c r="C13" s="12" t="s">
        <v>84</v>
      </c>
      <c r="D13" s="12" t="s">
        <v>85</v>
      </c>
      <c r="E13" s="40" t="s">
        <v>1</v>
      </c>
    </row>
    <row r="14" spans="1:7" ht="71.25">
      <c r="A14" s="39" t="s">
        <v>76</v>
      </c>
      <c r="B14" s="12" t="s">
        <v>77</v>
      </c>
      <c r="C14" s="12" t="s">
        <v>87</v>
      </c>
      <c r="D14" s="12" t="s">
        <v>92</v>
      </c>
      <c r="E14" s="40" t="s">
        <v>1</v>
      </c>
    </row>
    <row r="15" spans="1:7" ht="58.5">
      <c r="A15" s="39" t="s">
        <v>78</v>
      </c>
      <c r="B15" s="12" t="s">
        <v>79</v>
      </c>
      <c r="C15" s="12" t="s">
        <v>86</v>
      </c>
      <c r="D15" s="12" t="s">
        <v>80</v>
      </c>
      <c r="E15" s="40" t="s">
        <v>1</v>
      </c>
    </row>
    <row r="16" spans="1:7" ht="43.5">
      <c r="A16" s="39" t="s">
        <v>81</v>
      </c>
      <c r="B16" s="12" t="s">
        <v>82</v>
      </c>
      <c r="C16" s="12" t="s">
        <v>88</v>
      </c>
      <c r="D16" s="12" t="s">
        <v>89</v>
      </c>
      <c r="E16" s="40" t="s">
        <v>1</v>
      </c>
    </row>
    <row r="17" spans="1:5" ht="142.5">
      <c r="A17" s="43" t="s">
        <v>93</v>
      </c>
      <c r="B17" s="26" t="s">
        <v>94</v>
      </c>
      <c r="C17" s="26" t="s">
        <v>95</v>
      </c>
      <c r="D17" s="26" t="s">
        <v>96</v>
      </c>
      <c r="E17" s="44" t="s">
        <v>1</v>
      </c>
    </row>
    <row r="18" spans="1:5" ht="102" thickBot="1">
      <c r="A18" s="41" t="s">
        <v>97</v>
      </c>
      <c r="B18" s="34" t="s">
        <v>98</v>
      </c>
      <c r="C18" s="34" t="s">
        <v>99</v>
      </c>
      <c r="D18" s="45" t="s">
        <v>100</v>
      </c>
      <c r="E18" s="46" t="s">
        <v>1</v>
      </c>
    </row>
  </sheetData>
  <mergeCells count="2">
    <mergeCell ref="B2:E2"/>
    <mergeCell ref="F6:G6"/>
  </mergeCells>
  <dataValidations count="2">
    <dataValidation type="list" allowBlank="1" showErrorMessage="1" sqref="E5:E6 E19:E129">
      <formula1>#REF!</formula1>
      <formula2>0</formula2>
    </dataValidation>
    <dataValidation type="list" allowBlank="1" showErrorMessage="1" sqref="E18">
      <formula1>$F$2:$F$4</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F19" sqref="F19"/>
    </sheetView>
  </sheetViews>
  <sheetFormatPr defaultRowHeight="12.75"/>
  <cols>
    <col min="1" max="1" width="9" style="1"/>
    <col min="2" max="2" width="13.5" style="1" customWidth="1"/>
    <col min="3" max="3" width="19.375" style="1" customWidth="1"/>
    <col min="4" max="7" width="9" style="1"/>
    <col min="8" max="9" width="33.125" style="1" customWidth="1"/>
    <col min="10" max="257" width="9" style="1"/>
    <col min="258" max="258" width="13.5" style="1" customWidth="1"/>
    <col min="259" max="259" width="19.375" style="1" customWidth="1"/>
    <col min="260" max="263" width="9" style="1"/>
    <col min="264" max="265" width="33.125" style="1" customWidth="1"/>
    <col min="266" max="513" width="9" style="1"/>
    <col min="514" max="514" width="13.5" style="1" customWidth="1"/>
    <col min="515" max="515" width="19.375" style="1" customWidth="1"/>
    <col min="516" max="519" width="9" style="1"/>
    <col min="520" max="521" width="33.125" style="1" customWidth="1"/>
    <col min="522" max="769" width="9" style="1"/>
    <col min="770" max="770" width="13.5" style="1" customWidth="1"/>
    <col min="771" max="771" width="19.375" style="1" customWidth="1"/>
    <col min="772" max="775" width="9" style="1"/>
    <col min="776" max="777" width="33.125" style="1" customWidth="1"/>
    <col min="778" max="1025" width="9" style="1"/>
    <col min="1026" max="1026" width="13.5" style="1" customWidth="1"/>
    <col min="1027" max="1027" width="19.375" style="1" customWidth="1"/>
    <col min="1028" max="1031" width="9" style="1"/>
    <col min="1032" max="1033" width="33.125" style="1" customWidth="1"/>
    <col min="1034" max="1281" width="9" style="1"/>
    <col min="1282" max="1282" width="13.5" style="1" customWidth="1"/>
    <col min="1283" max="1283" width="19.375" style="1" customWidth="1"/>
    <col min="1284" max="1287" width="9" style="1"/>
    <col min="1288" max="1289" width="33.125" style="1" customWidth="1"/>
    <col min="1290" max="1537" width="9" style="1"/>
    <col min="1538" max="1538" width="13.5" style="1" customWidth="1"/>
    <col min="1539" max="1539" width="19.375" style="1" customWidth="1"/>
    <col min="1540" max="1543" width="9" style="1"/>
    <col min="1544" max="1545" width="33.125" style="1" customWidth="1"/>
    <col min="1546" max="1793" width="9" style="1"/>
    <col min="1794" max="1794" width="13.5" style="1" customWidth="1"/>
    <col min="1795" max="1795" width="19.375" style="1" customWidth="1"/>
    <col min="1796" max="1799" width="9" style="1"/>
    <col min="1800" max="1801" width="33.125" style="1" customWidth="1"/>
    <col min="1802" max="2049" width="9" style="1"/>
    <col min="2050" max="2050" width="13.5" style="1" customWidth="1"/>
    <col min="2051" max="2051" width="19.375" style="1" customWidth="1"/>
    <col min="2052" max="2055" width="9" style="1"/>
    <col min="2056" max="2057" width="33.125" style="1" customWidth="1"/>
    <col min="2058" max="2305" width="9" style="1"/>
    <col min="2306" max="2306" width="13.5" style="1" customWidth="1"/>
    <col min="2307" max="2307" width="19.375" style="1" customWidth="1"/>
    <col min="2308" max="2311" width="9" style="1"/>
    <col min="2312" max="2313" width="33.125" style="1" customWidth="1"/>
    <col min="2314" max="2561" width="9" style="1"/>
    <col min="2562" max="2562" width="13.5" style="1" customWidth="1"/>
    <col min="2563" max="2563" width="19.375" style="1" customWidth="1"/>
    <col min="2564" max="2567" width="9" style="1"/>
    <col min="2568" max="2569" width="33.125" style="1" customWidth="1"/>
    <col min="2570" max="2817" width="9" style="1"/>
    <col min="2818" max="2818" width="13.5" style="1" customWidth="1"/>
    <col min="2819" max="2819" width="19.375" style="1" customWidth="1"/>
    <col min="2820" max="2823" width="9" style="1"/>
    <col min="2824" max="2825" width="33.125" style="1" customWidth="1"/>
    <col min="2826" max="3073" width="9" style="1"/>
    <col min="3074" max="3074" width="13.5" style="1" customWidth="1"/>
    <col min="3075" max="3075" width="19.375" style="1" customWidth="1"/>
    <col min="3076" max="3079" width="9" style="1"/>
    <col min="3080" max="3081" width="33.125" style="1" customWidth="1"/>
    <col min="3082" max="3329" width="9" style="1"/>
    <col min="3330" max="3330" width="13.5" style="1" customWidth="1"/>
    <col min="3331" max="3331" width="19.375" style="1" customWidth="1"/>
    <col min="3332" max="3335" width="9" style="1"/>
    <col min="3336" max="3337" width="33.125" style="1" customWidth="1"/>
    <col min="3338" max="3585" width="9" style="1"/>
    <col min="3586" max="3586" width="13.5" style="1" customWidth="1"/>
    <col min="3587" max="3587" width="19.375" style="1" customWidth="1"/>
    <col min="3588" max="3591" width="9" style="1"/>
    <col min="3592" max="3593" width="33.125" style="1" customWidth="1"/>
    <col min="3594" max="3841" width="9" style="1"/>
    <col min="3842" max="3842" width="13.5" style="1" customWidth="1"/>
    <col min="3843" max="3843" width="19.375" style="1" customWidth="1"/>
    <col min="3844" max="3847" width="9" style="1"/>
    <col min="3848" max="3849" width="33.125" style="1" customWidth="1"/>
    <col min="3850" max="4097" width="9" style="1"/>
    <col min="4098" max="4098" width="13.5" style="1" customWidth="1"/>
    <col min="4099" max="4099" width="19.375" style="1" customWidth="1"/>
    <col min="4100" max="4103" width="9" style="1"/>
    <col min="4104" max="4105" width="33.125" style="1" customWidth="1"/>
    <col min="4106" max="4353" width="9" style="1"/>
    <col min="4354" max="4354" width="13.5" style="1" customWidth="1"/>
    <col min="4355" max="4355" width="19.375" style="1" customWidth="1"/>
    <col min="4356" max="4359" width="9" style="1"/>
    <col min="4360" max="4361" width="33.125" style="1" customWidth="1"/>
    <col min="4362" max="4609" width="9" style="1"/>
    <col min="4610" max="4610" width="13.5" style="1" customWidth="1"/>
    <col min="4611" max="4611" width="19.375" style="1" customWidth="1"/>
    <col min="4612" max="4615" width="9" style="1"/>
    <col min="4616" max="4617" width="33.125" style="1" customWidth="1"/>
    <col min="4618" max="4865" width="9" style="1"/>
    <col min="4866" max="4866" width="13.5" style="1" customWidth="1"/>
    <col min="4867" max="4867" width="19.375" style="1" customWidth="1"/>
    <col min="4868" max="4871" width="9" style="1"/>
    <col min="4872" max="4873" width="33.125" style="1" customWidth="1"/>
    <col min="4874" max="5121" width="9" style="1"/>
    <col min="5122" max="5122" width="13.5" style="1" customWidth="1"/>
    <col min="5123" max="5123" width="19.375" style="1" customWidth="1"/>
    <col min="5124" max="5127" width="9" style="1"/>
    <col min="5128" max="5129" width="33.125" style="1" customWidth="1"/>
    <col min="5130" max="5377" width="9" style="1"/>
    <col min="5378" max="5378" width="13.5" style="1" customWidth="1"/>
    <col min="5379" max="5379" width="19.375" style="1" customWidth="1"/>
    <col min="5380" max="5383" width="9" style="1"/>
    <col min="5384" max="5385" width="33.125" style="1" customWidth="1"/>
    <col min="5386" max="5633" width="9" style="1"/>
    <col min="5634" max="5634" width="13.5" style="1" customWidth="1"/>
    <col min="5635" max="5635" width="19.375" style="1" customWidth="1"/>
    <col min="5636" max="5639" width="9" style="1"/>
    <col min="5640" max="5641" width="33.125" style="1" customWidth="1"/>
    <col min="5642" max="5889" width="9" style="1"/>
    <col min="5890" max="5890" width="13.5" style="1" customWidth="1"/>
    <col min="5891" max="5891" width="19.375" style="1" customWidth="1"/>
    <col min="5892" max="5895" width="9" style="1"/>
    <col min="5896" max="5897" width="33.125" style="1" customWidth="1"/>
    <col min="5898" max="6145" width="9" style="1"/>
    <col min="6146" max="6146" width="13.5" style="1" customWidth="1"/>
    <col min="6147" max="6147" width="19.375" style="1" customWidth="1"/>
    <col min="6148" max="6151" width="9" style="1"/>
    <col min="6152" max="6153" width="33.125" style="1" customWidth="1"/>
    <col min="6154" max="6401" width="9" style="1"/>
    <col min="6402" max="6402" width="13.5" style="1" customWidth="1"/>
    <col min="6403" max="6403" width="19.375" style="1" customWidth="1"/>
    <col min="6404" max="6407" width="9" style="1"/>
    <col min="6408" max="6409" width="33.125" style="1" customWidth="1"/>
    <col min="6410" max="6657" width="9" style="1"/>
    <col min="6658" max="6658" width="13.5" style="1" customWidth="1"/>
    <col min="6659" max="6659" width="19.375" style="1" customWidth="1"/>
    <col min="6660" max="6663" width="9" style="1"/>
    <col min="6664" max="6665" width="33.125" style="1" customWidth="1"/>
    <col min="6666" max="6913" width="9" style="1"/>
    <col min="6914" max="6914" width="13.5" style="1" customWidth="1"/>
    <col min="6915" max="6915" width="19.375" style="1" customWidth="1"/>
    <col min="6916" max="6919" width="9" style="1"/>
    <col min="6920" max="6921" width="33.125" style="1" customWidth="1"/>
    <col min="6922" max="7169" width="9" style="1"/>
    <col min="7170" max="7170" width="13.5" style="1" customWidth="1"/>
    <col min="7171" max="7171" width="19.375" style="1" customWidth="1"/>
    <col min="7172" max="7175" width="9" style="1"/>
    <col min="7176" max="7177" width="33.125" style="1" customWidth="1"/>
    <col min="7178" max="7425" width="9" style="1"/>
    <col min="7426" max="7426" width="13.5" style="1" customWidth="1"/>
    <col min="7427" max="7427" width="19.375" style="1" customWidth="1"/>
    <col min="7428" max="7431" width="9" style="1"/>
    <col min="7432" max="7433" width="33.125" style="1" customWidth="1"/>
    <col min="7434" max="7681" width="9" style="1"/>
    <col min="7682" max="7682" width="13.5" style="1" customWidth="1"/>
    <col min="7683" max="7683" width="19.375" style="1" customWidth="1"/>
    <col min="7684" max="7687" width="9" style="1"/>
    <col min="7688" max="7689" width="33.125" style="1" customWidth="1"/>
    <col min="7690" max="7937" width="9" style="1"/>
    <col min="7938" max="7938" width="13.5" style="1" customWidth="1"/>
    <col min="7939" max="7939" width="19.375" style="1" customWidth="1"/>
    <col min="7940" max="7943" width="9" style="1"/>
    <col min="7944" max="7945" width="33.125" style="1" customWidth="1"/>
    <col min="7946" max="8193" width="9" style="1"/>
    <col min="8194" max="8194" width="13.5" style="1" customWidth="1"/>
    <col min="8195" max="8195" width="19.375" style="1" customWidth="1"/>
    <col min="8196" max="8199" width="9" style="1"/>
    <col min="8200" max="8201" width="33.125" style="1" customWidth="1"/>
    <col min="8202" max="8449" width="9" style="1"/>
    <col min="8450" max="8450" width="13.5" style="1" customWidth="1"/>
    <col min="8451" max="8451" width="19.375" style="1" customWidth="1"/>
    <col min="8452" max="8455" width="9" style="1"/>
    <col min="8456" max="8457" width="33.125" style="1" customWidth="1"/>
    <col min="8458" max="8705" width="9" style="1"/>
    <col min="8706" max="8706" width="13.5" style="1" customWidth="1"/>
    <col min="8707" max="8707" width="19.375" style="1" customWidth="1"/>
    <col min="8708" max="8711" width="9" style="1"/>
    <col min="8712" max="8713" width="33.125" style="1" customWidth="1"/>
    <col min="8714" max="8961" width="9" style="1"/>
    <col min="8962" max="8962" width="13.5" style="1" customWidth="1"/>
    <col min="8963" max="8963" width="19.375" style="1" customWidth="1"/>
    <col min="8964" max="8967" width="9" style="1"/>
    <col min="8968" max="8969" width="33.125" style="1" customWidth="1"/>
    <col min="8970" max="9217" width="9" style="1"/>
    <col min="9218" max="9218" width="13.5" style="1" customWidth="1"/>
    <col min="9219" max="9219" width="19.375" style="1" customWidth="1"/>
    <col min="9220" max="9223" width="9" style="1"/>
    <col min="9224" max="9225" width="33.125" style="1" customWidth="1"/>
    <col min="9226" max="9473" width="9" style="1"/>
    <col min="9474" max="9474" width="13.5" style="1" customWidth="1"/>
    <col min="9475" max="9475" width="19.375" style="1" customWidth="1"/>
    <col min="9476" max="9479" width="9" style="1"/>
    <col min="9480" max="9481" width="33.125" style="1" customWidth="1"/>
    <col min="9482" max="9729" width="9" style="1"/>
    <col min="9730" max="9730" width="13.5" style="1" customWidth="1"/>
    <col min="9731" max="9731" width="19.375" style="1" customWidth="1"/>
    <col min="9732" max="9735" width="9" style="1"/>
    <col min="9736" max="9737" width="33.125" style="1" customWidth="1"/>
    <col min="9738" max="9985" width="9" style="1"/>
    <col min="9986" max="9986" width="13.5" style="1" customWidth="1"/>
    <col min="9987" max="9987" width="19.375" style="1" customWidth="1"/>
    <col min="9988" max="9991" width="9" style="1"/>
    <col min="9992" max="9993" width="33.125" style="1" customWidth="1"/>
    <col min="9994" max="10241" width="9" style="1"/>
    <col min="10242" max="10242" width="13.5" style="1" customWidth="1"/>
    <col min="10243" max="10243" width="19.375" style="1" customWidth="1"/>
    <col min="10244" max="10247" width="9" style="1"/>
    <col min="10248" max="10249" width="33.125" style="1" customWidth="1"/>
    <col min="10250" max="10497" width="9" style="1"/>
    <col min="10498" max="10498" width="13.5" style="1" customWidth="1"/>
    <col min="10499" max="10499" width="19.375" style="1" customWidth="1"/>
    <col min="10500" max="10503" width="9" style="1"/>
    <col min="10504" max="10505" width="33.125" style="1" customWidth="1"/>
    <col min="10506" max="10753" width="9" style="1"/>
    <col min="10754" max="10754" width="13.5" style="1" customWidth="1"/>
    <col min="10755" max="10755" width="19.375" style="1" customWidth="1"/>
    <col min="10756" max="10759" width="9" style="1"/>
    <col min="10760" max="10761" width="33.125" style="1" customWidth="1"/>
    <col min="10762" max="11009" width="9" style="1"/>
    <col min="11010" max="11010" width="13.5" style="1" customWidth="1"/>
    <col min="11011" max="11011" width="19.375" style="1" customWidth="1"/>
    <col min="11012" max="11015" width="9" style="1"/>
    <col min="11016" max="11017" width="33.125" style="1" customWidth="1"/>
    <col min="11018" max="11265" width="9" style="1"/>
    <col min="11266" max="11266" width="13.5" style="1" customWidth="1"/>
    <col min="11267" max="11267" width="19.375" style="1" customWidth="1"/>
    <col min="11268" max="11271" width="9" style="1"/>
    <col min="11272" max="11273" width="33.125" style="1" customWidth="1"/>
    <col min="11274" max="11521" width="9" style="1"/>
    <col min="11522" max="11522" width="13.5" style="1" customWidth="1"/>
    <col min="11523" max="11523" width="19.375" style="1" customWidth="1"/>
    <col min="11524" max="11527" width="9" style="1"/>
    <col min="11528" max="11529" width="33.125" style="1" customWidth="1"/>
    <col min="11530" max="11777" width="9" style="1"/>
    <col min="11778" max="11778" width="13.5" style="1" customWidth="1"/>
    <col min="11779" max="11779" width="19.375" style="1" customWidth="1"/>
    <col min="11780" max="11783" width="9" style="1"/>
    <col min="11784" max="11785" width="33.125" style="1" customWidth="1"/>
    <col min="11786" max="12033" width="9" style="1"/>
    <col min="12034" max="12034" width="13.5" style="1" customWidth="1"/>
    <col min="12035" max="12035" width="19.375" style="1" customWidth="1"/>
    <col min="12036" max="12039" width="9" style="1"/>
    <col min="12040" max="12041" width="33.125" style="1" customWidth="1"/>
    <col min="12042" max="12289" width="9" style="1"/>
    <col min="12290" max="12290" width="13.5" style="1" customWidth="1"/>
    <col min="12291" max="12291" width="19.375" style="1" customWidth="1"/>
    <col min="12292" max="12295" width="9" style="1"/>
    <col min="12296" max="12297" width="33.125" style="1" customWidth="1"/>
    <col min="12298" max="12545" width="9" style="1"/>
    <col min="12546" max="12546" width="13.5" style="1" customWidth="1"/>
    <col min="12547" max="12547" width="19.375" style="1" customWidth="1"/>
    <col min="12548" max="12551" width="9" style="1"/>
    <col min="12552" max="12553" width="33.125" style="1" customWidth="1"/>
    <col min="12554" max="12801" width="9" style="1"/>
    <col min="12802" max="12802" width="13.5" style="1" customWidth="1"/>
    <col min="12803" max="12803" width="19.375" style="1" customWidth="1"/>
    <col min="12804" max="12807" width="9" style="1"/>
    <col min="12808" max="12809" width="33.125" style="1" customWidth="1"/>
    <col min="12810" max="13057" width="9" style="1"/>
    <col min="13058" max="13058" width="13.5" style="1" customWidth="1"/>
    <col min="13059" max="13059" width="19.375" style="1" customWidth="1"/>
    <col min="13060" max="13063" width="9" style="1"/>
    <col min="13064" max="13065" width="33.125" style="1" customWidth="1"/>
    <col min="13066" max="13313" width="9" style="1"/>
    <col min="13314" max="13314" width="13.5" style="1" customWidth="1"/>
    <col min="13315" max="13315" width="19.375" style="1" customWidth="1"/>
    <col min="13316" max="13319" width="9" style="1"/>
    <col min="13320" max="13321" width="33.125" style="1" customWidth="1"/>
    <col min="13322" max="13569" width="9" style="1"/>
    <col min="13570" max="13570" width="13.5" style="1" customWidth="1"/>
    <col min="13571" max="13571" width="19.375" style="1" customWidth="1"/>
    <col min="13572" max="13575" width="9" style="1"/>
    <col min="13576" max="13577" width="33.125" style="1" customWidth="1"/>
    <col min="13578" max="13825" width="9" style="1"/>
    <col min="13826" max="13826" width="13.5" style="1" customWidth="1"/>
    <col min="13827" max="13827" width="19.375" style="1" customWidth="1"/>
    <col min="13828" max="13831" width="9" style="1"/>
    <col min="13832" max="13833" width="33.125" style="1" customWidth="1"/>
    <col min="13834" max="14081" width="9" style="1"/>
    <col min="14082" max="14082" width="13.5" style="1" customWidth="1"/>
    <col min="14083" max="14083" width="19.375" style="1" customWidth="1"/>
    <col min="14084" max="14087" width="9" style="1"/>
    <col min="14088" max="14089" width="33.125" style="1" customWidth="1"/>
    <col min="14090" max="14337" width="9" style="1"/>
    <col min="14338" max="14338" width="13.5" style="1" customWidth="1"/>
    <col min="14339" max="14339" width="19.375" style="1" customWidth="1"/>
    <col min="14340" max="14343" width="9" style="1"/>
    <col min="14344" max="14345" width="33.125" style="1" customWidth="1"/>
    <col min="14346" max="14593" width="9" style="1"/>
    <col min="14594" max="14594" width="13.5" style="1" customWidth="1"/>
    <col min="14595" max="14595" width="19.375" style="1" customWidth="1"/>
    <col min="14596" max="14599" width="9" style="1"/>
    <col min="14600" max="14601" width="33.125" style="1" customWidth="1"/>
    <col min="14602" max="14849" width="9" style="1"/>
    <col min="14850" max="14850" width="13.5" style="1" customWidth="1"/>
    <col min="14851" max="14851" width="19.375" style="1" customWidth="1"/>
    <col min="14852" max="14855" width="9" style="1"/>
    <col min="14856" max="14857" width="33.125" style="1" customWidth="1"/>
    <col min="14858" max="15105" width="9" style="1"/>
    <col min="15106" max="15106" width="13.5" style="1" customWidth="1"/>
    <col min="15107" max="15107" width="19.375" style="1" customWidth="1"/>
    <col min="15108" max="15111" width="9" style="1"/>
    <col min="15112" max="15113" width="33.125" style="1" customWidth="1"/>
    <col min="15114" max="15361" width="9" style="1"/>
    <col min="15362" max="15362" width="13.5" style="1" customWidth="1"/>
    <col min="15363" max="15363" width="19.375" style="1" customWidth="1"/>
    <col min="15364" max="15367" width="9" style="1"/>
    <col min="15368" max="15369" width="33.125" style="1" customWidth="1"/>
    <col min="15370" max="15617" width="9" style="1"/>
    <col min="15618" max="15618" width="13.5" style="1" customWidth="1"/>
    <col min="15619" max="15619" width="19.375" style="1" customWidth="1"/>
    <col min="15620" max="15623" width="9" style="1"/>
    <col min="15624" max="15625" width="33.125" style="1" customWidth="1"/>
    <col min="15626" max="15873" width="9" style="1"/>
    <col min="15874" max="15874" width="13.5" style="1" customWidth="1"/>
    <col min="15875" max="15875" width="19.375" style="1" customWidth="1"/>
    <col min="15876" max="15879" width="9" style="1"/>
    <col min="15880" max="15881" width="33.125" style="1" customWidth="1"/>
    <col min="15882" max="16129" width="9" style="1"/>
    <col min="16130" max="16130" width="13.5" style="1" customWidth="1"/>
    <col min="16131" max="16131" width="19.375" style="1" customWidth="1"/>
    <col min="16132" max="16135" width="9" style="1"/>
    <col min="16136" max="16137" width="33.125" style="1" customWidth="1"/>
    <col min="16138" max="16384" width="9" style="1"/>
  </cols>
  <sheetData>
    <row r="1" spans="1:8" ht="25.5">
      <c r="B1" s="59" t="s">
        <v>179</v>
      </c>
      <c r="C1" s="59"/>
      <c r="D1" s="59"/>
      <c r="E1" s="59"/>
      <c r="F1" s="59"/>
      <c r="G1" s="59"/>
      <c r="H1" s="59"/>
    </row>
    <row r="2" spans="1:8">
      <c r="A2" s="60"/>
      <c r="B2" s="60"/>
      <c r="C2" s="61"/>
      <c r="D2" s="61"/>
      <c r="E2" s="61"/>
      <c r="F2" s="61"/>
      <c r="G2" s="61"/>
      <c r="H2" s="62"/>
    </row>
    <row r="3" spans="1:8">
      <c r="B3" s="63" t="s">
        <v>180</v>
      </c>
      <c r="C3" s="64" t="s">
        <v>181</v>
      </c>
      <c r="D3" s="64"/>
      <c r="E3" s="65" t="s">
        <v>182</v>
      </c>
      <c r="F3" s="65"/>
      <c r="G3" s="66"/>
      <c r="H3" s="67"/>
    </row>
    <row r="4" spans="1:8">
      <c r="B4" s="63" t="s">
        <v>183</v>
      </c>
      <c r="C4" s="64" t="s">
        <v>184</v>
      </c>
      <c r="D4" s="64"/>
      <c r="E4" s="65" t="s">
        <v>185</v>
      </c>
      <c r="F4" s="65"/>
      <c r="G4" s="66"/>
      <c r="H4" s="67"/>
    </row>
    <row r="5" spans="1:8">
      <c r="B5" s="68" t="s">
        <v>186</v>
      </c>
      <c r="C5" s="64" t="str">
        <f>C4&amp;"_"&amp;"Test Report"&amp;"_"&amp;"vx.x"</f>
        <v>&lt;Project Code&gt;_Test Report_vx.x</v>
      </c>
      <c r="D5" s="64"/>
      <c r="E5" s="65" t="s">
        <v>187</v>
      </c>
      <c r="F5" s="65"/>
      <c r="G5" s="66"/>
      <c r="H5" s="69" t="s">
        <v>188</v>
      </c>
    </row>
    <row r="6" spans="1:8">
      <c r="A6" s="60"/>
      <c r="B6" s="68" t="s">
        <v>189</v>
      </c>
      <c r="C6" s="70" t="s">
        <v>190</v>
      </c>
      <c r="D6" s="70"/>
      <c r="E6" s="70"/>
      <c r="F6" s="70"/>
      <c r="G6" s="70"/>
      <c r="H6" s="70"/>
    </row>
    <row r="7" spans="1:8">
      <c r="A7" s="60"/>
      <c r="B7" s="71"/>
      <c r="C7" s="72"/>
      <c r="D7" s="61"/>
      <c r="E7" s="61"/>
      <c r="F7" s="61"/>
      <c r="G7" s="61"/>
      <c r="H7" s="62"/>
    </row>
    <row r="8" spans="1:8">
      <c r="B8" s="71"/>
      <c r="C8" s="72"/>
      <c r="D8" s="61"/>
      <c r="E8" s="61"/>
      <c r="F8" s="61"/>
      <c r="G8" s="61"/>
      <c r="H8" s="62"/>
    </row>
    <row r="9" spans="1:8">
      <c r="A9" s="73"/>
      <c r="B9" s="73"/>
      <c r="C9" s="73"/>
      <c r="D9" s="73"/>
      <c r="E9" s="73"/>
      <c r="F9" s="73"/>
      <c r="G9" s="73"/>
      <c r="H9" s="73"/>
    </row>
    <row r="10" spans="1:8">
      <c r="A10" s="74"/>
      <c r="B10" s="75" t="s">
        <v>191</v>
      </c>
      <c r="C10" s="76" t="s">
        <v>192</v>
      </c>
      <c r="D10" s="77" t="s">
        <v>1</v>
      </c>
      <c r="E10" s="76" t="s">
        <v>2</v>
      </c>
      <c r="F10" s="76" t="s">
        <v>3</v>
      </c>
      <c r="G10" s="78" t="s">
        <v>4</v>
      </c>
      <c r="H10" s="79" t="s">
        <v>193</v>
      </c>
    </row>
    <row r="11" spans="1:8">
      <c r="A11" s="80"/>
      <c r="B11" s="81">
        <v>1</v>
      </c>
      <c r="C11" s="82" t="str">
        <f>Authentication!B2</f>
        <v>Authentication</v>
      </c>
      <c r="D11" s="83">
        <f>Authentication!A4</f>
        <v>17</v>
      </c>
      <c r="E11" s="83">
        <f>Authentication!B4</f>
        <v>0</v>
      </c>
      <c r="F11" s="83">
        <f>Authentication!C4</f>
        <v>0</v>
      </c>
      <c r="G11" s="83">
        <f>Authentication!D4</f>
        <v>1</v>
      </c>
      <c r="H11" s="84">
        <f>Authentication!E4</f>
        <v>18</v>
      </c>
    </row>
    <row r="12" spans="1:8">
      <c r="A12" s="80"/>
      <c r="B12" s="81"/>
      <c r="C12" s="82" t="str">
        <f>Product!B2</f>
        <v>Product</v>
      </c>
      <c r="D12" s="83">
        <f>Product!A4</f>
        <v>7</v>
      </c>
      <c r="E12" s="83">
        <f>Product!B4</f>
        <v>1</v>
      </c>
      <c r="F12" s="83">
        <f>Product!C4</f>
        <v>0</v>
      </c>
      <c r="G12" s="83">
        <f>Product!D4</f>
        <v>0</v>
      </c>
      <c r="H12" s="83">
        <f>Product!E4</f>
        <v>8</v>
      </c>
    </row>
    <row r="13" spans="1:8">
      <c r="A13" s="80"/>
      <c r="B13" s="81"/>
      <c r="C13" s="82" t="str">
        <f>Cart!B2</f>
        <v>Cart</v>
      </c>
      <c r="D13" s="83">
        <f>'Order &amp; Payment'!A4</f>
        <v>11</v>
      </c>
      <c r="E13" s="83">
        <f>'Order &amp; Payment'!B4</f>
        <v>0</v>
      </c>
      <c r="F13" s="83">
        <f>'Order &amp; Payment'!C4</f>
        <v>0</v>
      </c>
      <c r="G13" s="83">
        <f>'Order &amp; Payment'!D4</f>
        <v>1</v>
      </c>
      <c r="H13" s="83">
        <f>'Order &amp; Payment'!E4</f>
        <v>12</v>
      </c>
    </row>
    <row r="14" spans="1:8">
      <c r="A14" s="80"/>
      <c r="B14" s="81">
        <v>2</v>
      </c>
      <c r="C14" s="82" t="str">
        <f>'Order &amp; Payment'!B2</f>
        <v>Order &amp; Payment</v>
      </c>
      <c r="D14" s="83">
        <f>'Order &amp; Payment'!A4</f>
        <v>11</v>
      </c>
      <c r="E14" s="83">
        <f>'Order &amp; Payment'!B4</f>
        <v>0</v>
      </c>
      <c r="F14" s="83">
        <f>'Order &amp; Payment'!C4</f>
        <v>0</v>
      </c>
      <c r="G14" s="83">
        <f>'Order &amp; Payment'!D4</f>
        <v>1</v>
      </c>
      <c r="H14" s="83">
        <f>'Order &amp; Payment'!E4</f>
        <v>12</v>
      </c>
    </row>
    <row r="15" spans="1:8">
      <c r="A15" s="80"/>
      <c r="B15" s="85"/>
      <c r="C15" s="86" t="s">
        <v>194</v>
      </c>
      <c r="D15" s="87">
        <f>SUM(D10:D14)</f>
        <v>46</v>
      </c>
      <c r="E15" s="87">
        <f>SUM(E9:E14)</f>
        <v>1</v>
      </c>
      <c r="F15" s="87">
        <f>SUM(F9:F14)</f>
        <v>0</v>
      </c>
      <c r="G15" s="87">
        <f>SUM(G9:G14)</f>
        <v>3</v>
      </c>
      <c r="H15" s="88">
        <f>SUM(H10:H14)</f>
        <v>50</v>
      </c>
    </row>
    <row r="16" spans="1:8">
      <c r="A16" s="73"/>
      <c r="B16" s="89"/>
      <c r="C16" s="73"/>
      <c r="D16" s="90"/>
      <c r="E16" s="91"/>
      <c r="F16" s="91"/>
      <c r="G16" s="91"/>
      <c r="H16" s="91"/>
    </row>
    <row r="17" spans="1:8">
      <c r="A17" s="73"/>
      <c r="B17" s="73"/>
      <c r="C17" s="92" t="s">
        <v>195</v>
      </c>
      <c r="D17" s="73"/>
      <c r="E17" s="93">
        <f>(D15+E15)*100/(H15-G15)</f>
        <v>100</v>
      </c>
      <c r="F17" s="73" t="s">
        <v>196</v>
      </c>
      <c r="G17" s="73"/>
      <c r="H17" s="94"/>
    </row>
    <row r="18" spans="1:8">
      <c r="A18" s="73"/>
      <c r="B18" s="73"/>
      <c r="C18" s="92" t="s">
        <v>197</v>
      </c>
      <c r="D18" s="73"/>
      <c r="E18" s="93">
        <f>D15*100/(H15-G15)</f>
        <v>97.872340425531917</v>
      </c>
      <c r="F18" s="73" t="s">
        <v>196</v>
      </c>
      <c r="G18" s="73"/>
      <c r="H18" s="94"/>
    </row>
    <row r="19" spans="1:8">
      <c r="C19" s="73"/>
      <c r="D19" s="73"/>
    </row>
  </sheetData>
  <mergeCells count="8">
    <mergeCell ref="C6:H6"/>
    <mergeCell ref="B1:H1"/>
    <mergeCell ref="C3:D3"/>
    <mergeCell ref="E3:F3"/>
    <mergeCell ref="C4:D4"/>
    <mergeCell ref="E4:F4"/>
    <mergeCell ref="C5:D5"/>
    <mergeCell ref="E5: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EA2A741C5885C41AB9A358CCBEA8A85" ma:contentTypeVersion="4" ma:contentTypeDescription="Create a new document." ma:contentTypeScope="" ma:versionID="b08c537a49adf1f0264621696145d4e8">
  <xsd:schema xmlns:xsd="http://www.w3.org/2001/XMLSchema" xmlns:p="http://schemas.microsoft.com/office/2006/metadata/properties" xmlns:ns1="http://schemas.microsoft.com/sharepoint/v3" xmlns:ns2="41A7A25E-88C5-415C-AB9A-358CCBEA8A85" xmlns:ns3="cd6d2771-e08b-42a3-90f8-eca630337659" targetNamespace="http://schemas.microsoft.com/office/2006/metadata/properties" ma:root="true" ma:fieldsID="79edc66073723f43766a972d30b274e4" ns1:_="" ns2:_="" ns3:_="">
    <xsd:import namespace="http://schemas.microsoft.com/sharepoint/v3"/>
    <xsd:import namespace="41A7A25E-88C5-415C-AB9A-358CCBEA8A85"/>
    <xsd:import namespace="cd6d2771-e08b-42a3-90f8-eca630337659"/>
    <xsd:element name="properties">
      <xsd:complexType>
        <xsd:sequence>
          <xsd:element name="documentManagement">
            <xsd:complexType>
              <xsd:all>
                <xsd:element ref="ns1:_ModerationComments" minOccurs="0"/>
                <xsd:element ref="ns1:File_x0020_Type" minOccurs="0"/>
                <xsd:element ref="ns1:HTML_x0020_File_x0020_Type" minOccurs="0"/>
                <xsd:element ref="ns1:_SourceUrl" minOccurs="0"/>
                <xsd:element ref="ns1:_SharedFileIndex" minOccurs="0"/>
                <xsd:element ref="ns2:Priority" minOccurs="0"/>
                <xsd:element ref="ns1:ContentTypeId" minOccurs="0"/>
                <xsd:element ref="ns1:TemplateUrl" minOccurs="0"/>
                <xsd:element ref="ns1:xd_ProgID" minOccurs="0"/>
                <xsd:element ref="ns1:xd_Signature" minOccurs="0"/>
                <xsd:element ref="ns3:Number_x0020_Of_x0020_Viewer"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CheckedOutUserId" minOccurs="0"/>
                <xsd:element ref="ns1:IsCheckedoutToLocal" minOccurs="0"/>
                <xsd:element ref="ns1:CheckoutUser" minOccurs="0"/>
                <xsd:element ref="ns1:Unique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_ModerationComments" ma:index="0" nillable="true" ma:displayName="Approver Comments" ma:hidden="true" ma:internalName="_ModerationComments" ma:readOnly="true">
      <xsd:simpleType>
        <xsd:restriction base="dms:Note"/>
      </xsd:simpleType>
    </xsd:element>
    <xsd:element name="File_x0020_Type" ma:index="4" nillable="true" ma:displayName="File Type" ma:hidden="true" ma:internalName="File_x0020_Type" ma:readOnly="true">
      <xsd:simpleType>
        <xsd:restriction base="dms:Text"/>
      </xsd:simpleType>
    </xsd:element>
    <xsd:element name="HTML_x0020_File_x0020_Type" ma:index="5" nillable="true" ma:displayName="HTML File Type" ma:hidden="true" ma:internalName="HTML_x0020_File_x0020_Type" ma:readOnly="true">
      <xsd:simpleType>
        <xsd:restriction base="dms:Text"/>
      </xsd:simpleType>
    </xsd:element>
    <xsd:element name="_SourceUrl" ma:index="6" nillable="true" ma:displayName="Source Url" ma:hidden="true" ma:internalName="_SourceUrl">
      <xsd:simpleType>
        <xsd:restriction base="dms:Text"/>
      </xsd:simpleType>
    </xsd:element>
    <xsd:element name="_SharedFileIndex" ma:index="7" nillable="true" ma:displayName="Shared File Index" ma:hidden="true" ma:internalName="_SharedFileIndex">
      <xsd:simpleType>
        <xsd:restriction base="dms:Text"/>
      </xsd:simpleType>
    </xsd:element>
    <xsd:element name="ContentTypeId" ma:index="10" nillable="true" ma:displayName="Content Type ID" ma:hidden="true" ma:internalName="ContentTypeId" ma:readOnly="true">
      <xsd:simpleType>
        <xsd:restriction base="dms:Unknown"/>
      </xsd:simpleType>
    </xsd:element>
    <xsd:element name="TemplateUrl" ma:index="11" nillable="true" ma:displayName="Template Link" ma:hidden="true" ma:internalName="TemplateUrl">
      <xsd:simpleType>
        <xsd:restriction base="dms:Text"/>
      </xsd:simpleType>
    </xsd:element>
    <xsd:element name="xd_ProgID" ma:index="12" nillable="true" ma:displayName="Html File Link" ma:hidden="true" ma:internalName="xd_ProgID">
      <xsd:simpleType>
        <xsd:restriction base="dms:Text"/>
      </xsd:simpleType>
    </xsd:element>
    <xsd:element name="xd_Signature" ma:index="13" nillable="true" ma:displayName="Is Signed" ma:hidden="true" ma:internalName="xd_Signature" ma:readOnly="true">
      <xsd:simpleType>
        <xsd:restriction base="dms:Boolean"/>
      </xsd:simpleType>
    </xsd:element>
    <xsd:element name="ID" ma:index="15" nillable="true" ma:displayName="ID" ma:internalName="ID" ma:readOnly="true">
      <xsd:simpleType>
        <xsd:restriction base="dms:Unknown"/>
      </xsd:simpleType>
    </xsd:element>
    <xsd:element name="Author" ma:index="18"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20"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21" nillable="true" ma:displayName="Has Copy Destinations" ma:hidden="true" ma:internalName="_HasCopyDestinations" ma:readOnly="true">
      <xsd:simpleType>
        <xsd:restriction base="dms:Boolean"/>
      </xsd:simpleType>
    </xsd:element>
    <xsd:element name="_CopySource" ma:index="22" nillable="true" ma:displayName="Copy Source" ma:internalName="_CopySource" ma:readOnly="true">
      <xsd:simpleType>
        <xsd:restriction base="dms:Text"/>
      </xsd:simpleType>
    </xsd:element>
    <xsd:element name="_ModerationStatus" ma:index="23" nillable="true" ma:displayName="Approval Status" ma:default="0" ma:hidden="true" ma:internalName="_ModerationStatus" ma:readOnly="true">
      <xsd:simpleType>
        <xsd:restriction base="dms:Unknown"/>
      </xsd:simpleType>
    </xsd:element>
    <xsd:element name="FileRef" ma:index="24" nillable="true" ma:displayName="URL Path" ma:hidden="true" ma:list="Docs" ma:internalName="FileRef" ma:readOnly="true" ma:showField="FullUrl">
      <xsd:simpleType>
        <xsd:restriction base="dms:Lookup"/>
      </xsd:simpleType>
    </xsd:element>
    <xsd:element name="FileDirRef" ma:index="25" nillable="true" ma:displayName="Path" ma:hidden="true" ma:list="Docs" ma:internalName="FileDirRef" ma:readOnly="true" ma:showField="DirName">
      <xsd:simpleType>
        <xsd:restriction base="dms:Lookup"/>
      </xsd:simpleType>
    </xsd:element>
    <xsd:element name="Last_x0020_Modified" ma:index="26" nillable="true" ma:displayName="Modified" ma:format="TRUE" ma:hidden="true" ma:list="Docs" ma:internalName="Last_x0020_Modified" ma:readOnly="true" ma:showField="TimeLastModified">
      <xsd:simpleType>
        <xsd:restriction base="dms:Lookup"/>
      </xsd:simpleType>
    </xsd:element>
    <xsd:element name="Created_x0020_Date" ma:index="27" nillable="true" ma:displayName="Created" ma:format="TRUE" ma:hidden="true" ma:list="Docs" ma:internalName="Created_x0020_Date" ma:readOnly="true" ma:showField="TimeCreated">
      <xsd:simpleType>
        <xsd:restriction base="dms:Lookup"/>
      </xsd:simpleType>
    </xsd:element>
    <xsd:element name="File_x0020_Size" ma:index="28" nillable="true" ma:displayName="File Size" ma:format="TRUE" ma:hidden="true" ma:list="Docs" ma:internalName="File_x0020_Size" ma:readOnly="true" ma:showField="SizeInKB">
      <xsd:simpleType>
        <xsd:restriction base="dms:Lookup"/>
      </xsd:simpleType>
    </xsd:element>
    <xsd:element name="FSObjType" ma:index="29" nillable="true" ma:displayName="Item Type" ma:hidden="true" ma:list="Docs" ma:internalName="FSObjType" ma:readOnly="true" ma:showField="FSType">
      <xsd:simpleType>
        <xsd:restriction base="dms:Lookup"/>
      </xsd:simpleType>
    </xsd:element>
    <xsd:element name="CheckedOutUserId" ma:index="31" nillable="true" ma:displayName="ID of the User who has the item Checked Out" ma:hidden="true" ma:list="Docs" ma:internalName="CheckedOutUserId" ma:readOnly="true" ma:showField="CheckoutUserId">
      <xsd:simpleType>
        <xsd:restriction base="dms:Lookup"/>
      </xsd:simpleType>
    </xsd:element>
    <xsd:element name="IsCheckedoutToLocal" ma:index="32" nillable="true" ma:displayName="Is Checked out to local" ma:hidden="true" ma:list="Docs" ma:internalName="IsCheckedoutToLocal" ma:readOnly="true" ma:showField="IsCheckoutToLocal">
      <xsd:simpleType>
        <xsd:restriction base="dms:Lookup"/>
      </xsd:simpleType>
    </xsd:element>
    <xsd:element name="CheckoutUser" ma:index="33"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34" nillable="true" ma:displayName="Unique Id" ma:hidden="true" ma:list="Docs" ma:internalName="UniqueId" ma:readOnly="true" ma:showField="UniqueId">
      <xsd:simpleType>
        <xsd:restriction base="dms:Lookup"/>
      </xsd:simpleType>
    </xsd:element>
    <xsd:element name="ProgId" ma:index="35" nillable="true" ma:displayName="ProgId" ma:hidden="true" ma:list="Docs" ma:internalName="ProgId" ma:readOnly="true" ma:showField="ProgId">
      <xsd:simpleType>
        <xsd:restriction base="dms:Lookup"/>
      </xsd:simpleType>
    </xsd:element>
    <xsd:element name="ScopeId" ma:index="36" nillable="true" ma:displayName="ScopeId" ma:hidden="true" ma:list="Docs" ma:internalName="ScopeId" ma:readOnly="true" ma:showField="ScopeId">
      <xsd:simpleType>
        <xsd:restriction base="dms:Lookup"/>
      </xsd:simpleType>
    </xsd:element>
    <xsd:element name="VirusStatus" ma:index="37" nillable="true" ma:displayName="Virus Status" ma:format="TRUE" ma:hidden="true" ma:list="Docs" ma:internalName="VirusStatus" ma:readOnly="true" ma:showField="Size">
      <xsd:simpleType>
        <xsd:restriction base="dms:Lookup"/>
      </xsd:simpleType>
    </xsd:element>
    <xsd:element name="CheckedOutTitle" ma:index="38" nillable="true" ma:displayName="Checked Out To" ma:format="TRUE" ma:hidden="true" ma:list="Docs" ma:internalName="CheckedOutTitle" ma:readOnly="true" ma:showField="CheckedOutTitle">
      <xsd:simpleType>
        <xsd:restriction base="dms:Lookup"/>
      </xsd:simpleType>
    </xsd:element>
    <xsd:element name="_CheckinComment" ma:index="39" nillable="true" ma:displayName="Check In Comment" ma:format="TRUE" ma:list="Docs" ma:internalName="_CheckinComment" ma:readOnly="true" ma:showField="CheckinComment">
      <xsd:simpleType>
        <xsd:restriction base="dms:Lookup"/>
      </xsd:simpleType>
    </xsd:element>
    <xsd:element name="MetaInfo" ma:index="50" nillable="true" ma:displayName="Property Bag" ma:hidden="true" ma:list="Docs" ma:internalName="MetaInfo" ma:showField="MetaInfo">
      <xsd:simpleType>
        <xsd:restriction base="dms:Lookup"/>
      </xsd:simpleType>
    </xsd:element>
    <xsd:element name="_Level" ma:index="51" nillable="true" ma:displayName="Level" ma:hidden="true" ma:internalName="_Level" ma:readOnly="true">
      <xsd:simpleType>
        <xsd:restriction base="dms:Unknown"/>
      </xsd:simpleType>
    </xsd:element>
    <xsd:element name="_IsCurrentVersion" ma:index="52" nillable="true" ma:displayName="Is Current Version" ma:hidden="true" ma:internalName="_IsCurrentVersion" ma:readOnly="true">
      <xsd:simpleType>
        <xsd:restriction base="dms:Boolean"/>
      </xsd:simpleType>
    </xsd:element>
    <xsd:element name="owshiddenversion" ma:index="56" nillable="true" ma:displayName="owshiddenversion" ma:hidden="true" ma:internalName="owshiddenversion" ma:readOnly="true">
      <xsd:simpleType>
        <xsd:restriction base="dms:Unknown"/>
      </xsd:simpleType>
    </xsd:element>
    <xsd:element name="_UIVersion" ma:index="57" nillable="true" ma:displayName="UI Version" ma:hidden="true" ma:internalName="_UIVersion" ma:readOnly="true">
      <xsd:simpleType>
        <xsd:restriction base="dms:Unknown"/>
      </xsd:simpleType>
    </xsd:element>
    <xsd:element name="_UIVersionString" ma:index="58" nillable="true" ma:displayName="Version" ma:internalName="_UIVersionString" ma:readOnly="true">
      <xsd:simpleType>
        <xsd:restriction base="dms:Text"/>
      </xsd:simpleType>
    </xsd:element>
    <xsd:element name="InstanceID" ma:index="59" nillable="true" ma:displayName="Instance ID" ma:hidden="true" ma:internalName="InstanceID" ma:readOnly="true">
      <xsd:simpleType>
        <xsd:restriction base="dms:Unknown"/>
      </xsd:simpleType>
    </xsd:element>
    <xsd:element name="Order" ma:index="60" nillable="true" ma:displayName="Order" ma:hidden="true" ma:internalName="Order">
      <xsd:simpleType>
        <xsd:restriction base="dms:Number"/>
      </xsd:simpleType>
    </xsd:element>
    <xsd:element name="GUID" ma:index="61" nillable="true" ma:displayName="GUID" ma:hidden="true" ma:internalName="GUID" ma:readOnly="true">
      <xsd:simpleType>
        <xsd:restriction base="dms:Unknown"/>
      </xsd:simpleType>
    </xsd:element>
    <xsd:element name="WorkflowVersion" ma:index="62" nillable="true" ma:displayName="Workflow Version" ma:hidden="true" ma:internalName="WorkflowVersion" ma:readOnly="true">
      <xsd:simpleType>
        <xsd:restriction base="dms:Unknown"/>
      </xsd:simpleType>
    </xsd:element>
    <xsd:element name="WorkflowInstanceID" ma:index="63" nillable="true" ma:displayName="Workflow Instance ID" ma:hidden="true" ma:internalName="WorkflowInstanceID" ma:readOnly="true">
      <xsd:simpleType>
        <xsd:restriction base="dms:Unknown"/>
      </xsd:simpleType>
    </xsd:element>
    <xsd:element name="ParentVersionString" ma:index="64" nillable="true" ma:displayName="Source Version (Converted Document)" ma:hidden="true" ma:list="Docs" ma:internalName="ParentVersionString" ma:readOnly="true" ma:showField="ParentVersionString">
      <xsd:simpleType>
        <xsd:restriction base="dms:Lookup"/>
      </xsd:simpleType>
    </xsd:element>
    <xsd:element name="ParentLeafName" ma:index="65" nillable="true" ma:displayName="Source Name (Converted Document)" ma:hidden="true" ma:list="Docs" ma:internalName="ParentLeafName" ma:readOnly="true" ma:showField="ParentLeafName">
      <xsd:simpleType>
        <xsd:restriction base="dms:Lookup"/>
      </xsd:simpleType>
    </xsd:element>
  </xsd:schema>
  <xsd:schema xmlns:xsd="http://www.w3.org/2001/XMLSchema" xmlns:dms="http://schemas.microsoft.com/office/2006/documentManagement/types" targetNamespace="41A7A25E-88C5-415C-AB9A-358CCBEA8A85" elementFormDefault="qualified">
    <xsd:import namespace="http://schemas.microsoft.com/office/2006/documentManagement/types"/>
    <xsd:element name="Priority" ma:index="9" nillable="true" ma:displayName="Priority" ma:internalName="Priority">
      <xsd:simpleType>
        <xsd:restriction base="dms:Number"/>
      </xsd:simpleType>
    </xsd:element>
  </xsd:schema>
  <xsd:schema xmlns:xsd="http://www.w3.org/2001/XMLSchema" xmlns:dms="http://schemas.microsoft.com/office/2006/documentManagement/types" targetNamespace="cd6d2771-e08b-42a3-90f8-eca630337659" elementFormDefault="qualified">
    <xsd:import namespace="http://schemas.microsoft.com/office/2006/documentManagement/types"/>
    <xsd:element name="Number_x0020_Of_x0020_Viewer" ma:index="14" nillable="true" ma:displayName="Number Of Viewer" ma:default="0" ma:internalName="Number_x0020_Of_x0020_Viewe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85ED280E-F51D-42B1-B363-4EC477D089ED}">
  <ds:schemaRefs>
    <ds:schemaRef ds:uri="http://schemas.microsoft.com/sharepoint/v3/contenttype/forms"/>
  </ds:schemaRefs>
</ds:datastoreItem>
</file>

<file path=customXml/itemProps2.xml><?xml version="1.0" encoding="utf-8"?>
<ds:datastoreItem xmlns:ds="http://schemas.openxmlformats.org/officeDocument/2006/customXml" ds:itemID="{0FCAE63D-5380-40ED-A43E-1567E1C20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A7A25E-88C5-415C-AB9A-358CCBEA8A85"/>
    <ds:schemaRef ds:uri="cd6d2771-e08b-42a3-90f8-eca63033765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case List</vt:lpstr>
      <vt:lpstr>Authentication</vt:lpstr>
      <vt:lpstr>Product</vt:lpstr>
      <vt:lpstr>Cart</vt:lpstr>
      <vt:lpstr>Order &amp; Payment</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pc</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Admin</cp:lastModifiedBy>
  <cp:lastPrinted>2010-11-12T10:33:20Z</cp:lastPrinted>
  <dcterms:created xsi:type="dcterms:W3CDTF">2011-06-02T09:10:50Z</dcterms:created>
  <dcterms:modified xsi:type="dcterms:W3CDTF">2025-12-18T12:56:56Z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ies>
</file>